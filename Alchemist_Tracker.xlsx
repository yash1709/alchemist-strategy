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Gold" sheetId="4" state="visible" r:id="rId4"/>
    <sheet xmlns:r="http://schemas.openxmlformats.org/officeDocument/2006/relationships" name="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-mmm-yyyy"/>
    <numFmt numFmtId="166" formatCode="dd-mmm-yy;;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95959"/>
    </font>
    <font>
      <b val="1"/>
    </font>
    <font>
      <b val="1"/>
      <color rgb="001F3A5F"/>
      <sz val="12"/>
    </font>
    <font>
      <b val="1"/>
      <color rgb="00FFFFFF"/>
    </font>
    <font>
      <b val="1"/>
      <color rgb="001F3A5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5" borderId="1" pivotButton="0" quotePrefix="0" xfId="0"/>
    <xf numFmtId="3" fontId="3" fillId="5" borderId="1" pivotButton="0" quotePrefix="0" xfId="0"/>
    <xf numFmtId="164" fontId="3" fillId="5" borderId="1" pivotButton="0" quotePrefix="0" xfId="0"/>
    <xf numFmtId="1" fontId="3" fillId="5" borderId="1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4" fontId="0" fillId="2" borderId="1" pivotButton="0" quotePrefix="0" xfId="0"/>
    <xf numFmtId="0" fontId="0" fillId="3" borderId="1" pivotButton="0" quotePrefix="0" xfId="0"/>
    <xf numFmtId="166" fontId="0" fillId="3" borderId="1" pivotButton="0" quotePrefix="0" xfId="0"/>
    <xf numFmtId="3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0" fontId="3" fillId="3" borderId="1" pivotButton="0" quotePrefix="0" xfId="0"/>
    <xf numFmtId="3" fontId="0" fillId="2" borderId="1" pivotButton="0" quotePrefix="0" xfId="0"/>
    <xf numFmtId="0" fontId="0" fillId="2" borderId="1" pivotButton="0" quotePrefix="0" xfId="0"/>
    <xf numFmtId="164" fontId="0" fillId="2" borderId="1" pivotButton="0" quotePrefix="0" xfId="0"/>
    <xf numFmtId="9" fontId="0" fillId="2" borderId="1" pivotButton="0" quotePrefix="0" xfId="0"/>
    <xf numFmtId="3" fontId="3" fillId="3" borderId="1" pivotButton="0" quotePrefix="0" xfId="0"/>
    <xf numFmtId="164" fontId="3" fillId="3" borderId="1" pivotButton="0" quotePrefix="0" xfId="0"/>
    <xf numFmtId="165" fontId="0" fillId="2" borderId="0" pivotButton="0" quotePrefix="0" xfId="0"/>
    <xf numFmtId="0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5700"/>
      </font>
      <fill>
        <patternFill patternType="solid">
          <bgColor rgb="00FFEB9C"/>
        </patternFill>
      </fill>
    </dxf>
    <dxf>
      <fill>
        <patternFill patternType="solid">
          <bgColor rgb="00FFC7CE"/>
        </patternFill>
      </fill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9" customWidth="1" min="4" max="4"/>
    <col width="11" customWidth="1" min="5" max="5"/>
    <col width="9" customWidth="1" min="6" max="6"/>
    <col width="11" customWidth="1" min="7" max="7"/>
    <col width="10" customWidth="1" min="8" max="8"/>
    <col width="12" customWidth="1" min="9" max="9"/>
    <col width="11" customWidth="1" min="10" max="10"/>
    <col width="12" customWidth="1" min="11" max="11"/>
    <col width="10" customWidth="1" min="12" max="12"/>
    <col width="11" customWidth="1" min="13" max="13"/>
    <col width="8" customWidth="1" min="14" max="14"/>
    <col width="10" customWidth="1" min="15" max="15"/>
    <col width="11" customWidth="1" min="16" max="16"/>
    <col width="12" customWidth="1" min="17" max="17"/>
    <col width="30" customWidth="1" min="18" max="18"/>
    <col width="9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Alchemist 2026 Tracker</t>
        </is>
      </c>
    </row>
    <row r="2">
      <c r="A2" s="2" t="inlineStr">
        <is>
          <t>Log trades in the Trades tab; this page tells you what to do today.</t>
        </is>
      </c>
    </row>
    <row r="3">
      <c r="A3" s="3" t="inlineStr">
        <is>
          <t>Mode</t>
        </is>
      </c>
      <c r="B3" s="4">
        <f>Settings!B20</f>
        <v/>
      </c>
      <c r="D3" s="3" t="inlineStr">
        <is>
          <t>Realised profit (gross)</t>
        </is>
      </c>
      <c r="E3" s="5">
        <f>SUM(Trades!$H$2:$H$1000)</f>
        <v/>
      </c>
    </row>
    <row r="4">
      <c r="A4" s="3" t="inlineStr">
        <is>
          <t>Capital (effective)</t>
        </is>
      </c>
      <c r="B4" s="5">
        <f>Settings!B14</f>
        <v/>
      </c>
      <c r="D4" s="3" t="inlineStr">
        <is>
          <t>Unrealised P/L</t>
        </is>
      </c>
      <c r="E4" s="5">
        <f>SUM(M12:M23)-SUM(G12:G23)</f>
        <v/>
      </c>
    </row>
    <row r="5">
      <c r="A5" s="3" t="inlineStr">
        <is>
          <t>Deployed</t>
        </is>
      </c>
      <c r="B5" s="5">
        <f>SUM(G12:G23)</f>
        <v/>
      </c>
      <c r="D5" s="3" t="inlineStr">
        <is>
          <t>Gold value</t>
        </is>
      </c>
      <c r="E5" s="5">
        <f>Gold!H8</f>
        <v/>
      </c>
    </row>
    <row r="6">
      <c r="A6" s="3" t="inlineStr">
        <is>
          <t>Deployed %</t>
        </is>
      </c>
      <c r="B6" s="6">
        <f>Settings!B19</f>
        <v/>
      </c>
      <c r="D6" s="3" t="inlineStr">
        <is>
          <t>Gold P/L</t>
        </is>
      </c>
      <c r="E6" s="5">
        <f>Gold!H9</f>
        <v/>
      </c>
    </row>
    <row r="7">
      <c r="A7" s="3" t="inlineStr">
        <is>
          <t>Open positions</t>
        </is>
      </c>
      <c r="B7" s="7">
        <f>COUNTIF(F12:F23,"&gt;0")</f>
        <v/>
      </c>
      <c r="D7" s="3" t="inlineStr">
        <is>
          <t>Total P/L</t>
        </is>
      </c>
      <c r="E7" s="5">
        <f>E3+E4+E6</f>
        <v/>
      </c>
    </row>
    <row r="8">
      <c r="A8" s="3" t="inlineStr">
        <is>
          <t>Actions today</t>
        </is>
      </c>
      <c r="B8" s="7">
        <f>COUNTIF(R12:R23,"?*")-COUNTIF(R12:R23,"Waits for trigger")</f>
        <v/>
      </c>
      <c r="D8" s="3" t="inlineStr">
        <is>
          <t>Total P/L % of base capital</t>
        </is>
      </c>
      <c r="E8" s="6">
        <f>E7/Settings!B3</f>
        <v/>
      </c>
    </row>
    <row r="9">
      <c r="D9" s="3" t="inlineStr">
        <is>
          <t>Profit waiting to go into gold</t>
        </is>
      </c>
      <c r="E9" s="5">
        <f>Gold!H10</f>
        <v/>
      </c>
    </row>
    <row r="10">
      <c r="A10" s="8" t="inlineStr">
        <is>
          <t>Positions (T1 = Nifty 50 ETF, T2 = Bank Nifty partner)</t>
        </is>
      </c>
    </row>
    <row r="11" ht="32" customHeight="1">
      <c r="A11" s="9" t="inlineStr">
        <is>
          <t>Track</t>
        </is>
      </c>
      <c r="B11" s="9" t="inlineStr">
        <is>
          <t>ETF</t>
        </is>
      </c>
      <c r="C11" s="9" t="inlineStr">
        <is>
          <t>Partner</t>
        </is>
      </c>
      <c r="D11" s="9" t="inlineStr">
        <is>
          <t>Buy day</t>
        </is>
      </c>
      <c r="E11" s="9" t="inlineStr">
        <is>
          <t>Last sell</t>
        </is>
      </c>
      <c r="F11" s="9" t="inlineStr">
        <is>
          <t>Units</t>
        </is>
      </c>
      <c r="G11" s="9" t="inlineStr">
        <is>
          <t>Invested</t>
        </is>
      </c>
      <c r="H11" s="9" t="inlineStr">
        <is>
          <t>Avg cost</t>
        </is>
      </c>
      <c r="I11" s="9" t="inlineStr">
        <is>
          <t>Last buy date</t>
        </is>
      </c>
      <c r="J11" s="9" t="inlineStr">
        <is>
          <t>Last buy price</t>
        </is>
      </c>
      <c r="K11" s="9" t="inlineStr">
        <is>
          <t>Cycle start</t>
        </is>
      </c>
      <c r="L11" s="9" t="inlineStr">
        <is>
          <t>Price</t>
        </is>
      </c>
      <c r="M11" s="9" t="inlineStr">
        <is>
          <t>Value</t>
        </is>
      </c>
      <c r="N11" s="9" t="inlineStr">
        <is>
          <t>P/L %</t>
        </is>
      </c>
      <c r="O11" s="9" t="inlineStr">
        <is>
          <t>Sell at</t>
        </is>
      </c>
      <c r="P11" s="9" t="inlineStr">
        <is>
          <t>Fall vs last buy</t>
        </is>
      </c>
      <c r="Q11" s="9" t="inlineStr">
        <is>
          <t>Next due</t>
        </is>
      </c>
      <c r="R11" s="9" t="inlineStr">
        <is>
          <t>ACTION</t>
        </is>
      </c>
      <c r="S11" s="9" t="inlineStr">
        <is>
          <t>Bud rank</t>
        </is>
      </c>
      <c r="T11" s="9" t="inlineStr">
        <is>
          <t>Manual price</t>
        </is>
      </c>
      <c r="U11" s="9" t="inlineStr">
        <is>
          <t>Last LUMP/SIP</t>
        </is>
      </c>
      <c r="V11" s="9" t="inlineStr">
        <is>
          <t>Bud-eligible fall</t>
        </is>
      </c>
    </row>
    <row r="12">
      <c r="A12" s="10" t="inlineStr">
        <is>
          <t>T1</t>
        </is>
      </c>
      <c r="B12" s="10">
        <f>Settings!B24</f>
        <v/>
      </c>
      <c r="C12" s="10">
        <f>B18</f>
        <v/>
      </c>
      <c r="D12" s="10">
        <f>Settings!A24</f>
        <v/>
      </c>
      <c r="E12" s="11">
        <f>_xlfn.MAXIFS(Trades!$A$2:$A$1000,Trades!$B$2:$B$1000,B12,Trades!$C$2:$C$1000,"SELL")</f>
        <v/>
      </c>
      <c r="F12" s="10">
        <f>SUMIFS(Trades!$E$2:$E$1000,Trades!$B$2:$B$1000,B12,Trades!$C$2:$C$1000,"&lt;&gt;SELL")-SUMIFS(Trades!$E$2:$E$1000,Trades!$B$2:$B$1000,B12,Trades!$C$2:$C$1000,"SELL")</f>
        <v/>
      </c>
      <c r="G12" s="12">
        <f>SUMIFS(Trades!$F$2:$F$1000,Trades!$B$2:$B$1000,B12,Trades!$C$2:$C$1000,"&lt;&gt;SELL",Trades!$A$2:$A$1000,"&gt;"&amp;E12)</f>
        <v/>
      </c>
      <c r="H12" s="13">
        <f>IF(F12&gt;0,G12/F12,0)</f>
        <v/>
      </c>
      <c r="I12" s="11">
        <f>IF(F12&gt;0,_xlfn.MAXIFS(Trades!$A$2:$A$1000,Trades!$B$2:$B$1000,B12,Trades!$C$2:$C$1000,"&lt;&gt;SELL",Trades!$A$2:$A$1000,"&gt;"&amp;E12),"")</f>
        <v/>
      </c>
      <c r="J12" s="13">
        <f>IF(F12&gt;0,IFERROR(AVERAGEIFS(Trades!$D$2:$D$1000,Trades!$B$2:$B$1000,B12,Trades!$C$2:$C$1000,"&lt;&gt;SELL",Trades!$A$2:$A$1000,I12),0),"")</f>
        <v/>
      </c>
      <c r="K12" s="11">
        <f>IF(F12&gt;0,_xlfn.MINIFS(Trades!$A$2:$A$1000,Trades!$B$2:$B$1000,B12,Trades!$C$2:$C$1000,"&lt;&gt;SELL",Trades!$A$2:$A$1000,"&gt;"&amp;E12),"")</f>
        <v/>
      </c>
      <c r="L12" s="13">
        <f>IF(ISNUMBER(T12),T12,IFERROR(GOOGLEFINANCE("NSE:"&amp;B12),""))</f>
        <v/>
      </c>
      <c r="M12" s="12">
        <f>IF(F12&gt;0,IF(ISNUMBER(L12),F12*L12,G12),0)</f>
        <v/>
      </c>
      <c r="N12" s="14">
        <f>IF(AND(F12&gt;0,ISNUMBER(L12)),L12/H12-1,"")</f>
        <v/>
      </c>
      <c r="O12" s="13">
        <f>IF(F12&gt;0,H12*(1+Settings!$B$8),"")</f>
        <v/>
      </c>
      <c r="P12" s="14">
        <f>IF(AND(F12&gt;0,ISNUMBER(L12)),L12/J12-1,"")</f>
        <v/>
      </c>
      <c r="Q12" s="11">
        <f>IF(F12&gt;0,DATE(YEAR(U12),MONTH(U12)+1,D12),IF(E12=0,IF(DAY(TODAY())&lt;=D12,DATE(YEAR(TODAY()),MONTH(TODAY()),D12),DATE(YEAR(TODAY()),MONTH(TODAY())+1,D12)),IF(DAY(E12)&lt;D12,DATE(YEAR(E12),MONTH(E12),D12),DATE(YEAR(E12),MONTH(E12)+1,D12))))</f>
        <v/>
      </c>
      <c r="R12" s="15">
        <f>IF(F12&gt;0,IF(AND(ISNUMBER(L12),L12&gt;=O12),"SELL ALL",IF(AND(ISNUMBER(L12),L12&lt;=H12*(1+Settings!$B$9),F18=0),"BUY PARTNER - lump "&amp;TEXT(Settings!$B$15,"#,##0"),IF(AND(Settings!$B$20="BUD",ISNUMBER(S12)),"BUD BUY #"&amp;S12,IF(AND(Settings!$B$20="SHIP",TODAY()&gt;=Q12),"SIP due - "&amp;TEXT(Settings!$B$16,"#,##0"),"")))),IF(AND(Settings!$B$20="SHIP",TODAY()&gt;=Q12),"LUMP due - "&amp;TEXT(Settings!$B$15,"#,##0"),""))</f>
        <v/>
      </c>
      <c r="S12" s="10">
        <f>IF(ISNUMBER(V12),RANK(V12,$V$12:$V$23,1),"")</f>
        <v/>
      </c>
      <c r="T12" s="16" t="n"/>
      <c r="U12" s="10">
        <f>IF(F12&gt;0,MAX(_xlfn.MAXIFS(Trades!$A$2:$A$1000,Trades!$B$2:$B$1000,B12,Trades!$C$2:$C$1000,"LUMP"),_xlfn.MAXIFS(Trades!$A$2:$A$1000,Trades!$B$2:$B$1000,B12,Trades!$C$2:$C$1000,"SIP")),"")</f>
        <v/>
      </c>
      <c r="V12" s="14">
        <f>IF(AND(Settings!$B$20="BUD",F12&gt;0,ISNUMBER(P12)),IF(P12&lt;=Settings!$B$11,P12,""),"")</f>
        <v/>
      </c>
    </row>
    <row r="13">
      <c r="A13" s="10" t="inlineStr">
        <is>
          <t>T1</t>
        </is>
      </c>
      <c r="B13" s="10">
        <f>Settings!B25</f>
        <v/>
      </c>
      <c r="C13" s="10">
        <f>B19</f>
        <v/>
      </c>
      <c r="D13" s="10">
        <f>Settings!A25</f>
        <v/>
      </c>
      <c r="E13" s="11">
        <f>_xlfn.MAXIFS(Trades!$A$2:$A$1000,Trades!$B$2:$B$1000,B13,Trades!$C$2:$C$1000,"SELL")</f>
        <v/>
      </c>
      <c r="F13" s="10">
        <f>SUMIFS(Trades!$E$2:$E$1000,Trades!$B$2:$B$1000,B13,Trades!$C$2:$C$1000,"&lt;&gt;SELL")-SUMIFS(Trades!$E$2:$E$1000,Trades!$B$2:$B$1000,B13,Trades!$C$2:$C$1000,"SELL")</f>
        <v/>
      </c>
      <c r="G13" s="12">
        <f>SUMIFS(Trades!$F$2:$F$1000,Trades!$B$2:$B$1000,B13,Trades!$C$2:$C$1000,"&lt;&gt;SELL",Trades!$A$2:$A$1000,"&gt;"&amp;E13)</f>
        <v/>
      </c>
      <c r="H13" s="13">
        <f>IF(F13&gt;0,G13/F13,0)</f>
        <v/>
      </c>
      <c r="I13" s="11">
        <f>IF(F13&gt;0,_xlfn.MAXIFS(Trades!$A$2:$A$1000,Trades!$B$2:$B$1000,B13,Trades!$C$2:$C$1000,"&lt;&gt;SELL",Trades!$A$2:$A$1000,"&gt;"&amp;E13),"")</f>
        <v/>
      </c>
      <c r="J13" s="13">
        <f>IF(F13&gt;0,IFERROR(AVERAGEIFS(Trades!$D$2:$D$1000,Trades!$B$2:$B$1000,B13,Trades!$C$2:$C$1000,"&lt;&gt;SELL",Trades!$A$2:$A$1000,I13),0),"")</f>
        <v/>
      </c>
      <c r="K13" s="11">
        <f>IF(F13&gt;0,_xlfn.MINIFS(Trades!$A$2:$A$1000,Trades!$B$2:$B$1000,B13,Trades!$C$2:$C$1000,"&lt;&gt;SELL",Trades!$A$2:$A$1000,"&gt;"&amp;E13),"")</f>
        <v/>
      </c>
      <c r="L13" s="13">
        <f>IF(ISNUMBER(T13),T13,IFERROR(GOOGLEFINANCE("NSE:"&amp;B13),""))</f>
        <v/>
      </c>
      <c r="M13" s="12">
        <f>IF(F13&gt;0,IF(ISNUMBER(L13),F13*L13,G13),0)</f>
        <v/>
      </c>
      <c r="N13" s="14">
        <f>IF(AND(F13&gt;0,ISNUMBER(L13)),L13/H13-1,"")</f>
        <v/>
      </c>
      <c r="O13" s="13">
        <f>IF(F13&gt;0,H13*(1+Settings!$B$8),"")</f>
        <v/>
      </c>
      <c r="P13" s="14">
        <f>IF(AND(F13&gt;0,ISNUMBER(L13)),L13/J13-1,"")</f>
        <v/>
      </c>
      <c r="Q13" s="11">
        <f>IF(F13&gt;0,DATE(YEAR(U13),MONTH(U13)+1,D13),IF(E13=0,IF(DAY(TODAY())&lt;=D13,DATE(YEAR(TODAY()),MONTH(TODAY()),D13),DATE(YEAR(TODAY()),MONTH(TODAY())+1,D13)),IF(DAY(E13)&lt;D13,DATE(YEAR(E13),MONTH(E13),D13),DATE(YEAR(E13),MONTH(E13)+1,D13))))</f>
        <v/>
      </c>
      <c r="R13" s="15">
        <f>IF(F13&gt;0,IF(AND(ISNUMBER(L13),L13&gt;=O13),"SELL ALL",IF(AND(ISNUMBER(L13),L13&lt;=H13*(1+Settings!$B$9),F19=0),"BUY PARTNER - lump "&amp;TEXT(Settings!$B$15,"#,##0"),IF(AND(Settings!$B$20="BUD",ISNUMBER(S13)),"BUD BUY #"&amp;S13,IF(AND(Settings!$B$20="SHIP",TODAY()&gt;=Q13),"SIP due - "&amp;TEXT(Settings!$B$16,"#,##0"),"")))),IF(AND(Settings!$B$20="SHIP",TODAY()&gt;=Q13),"LUMP due - "&amp;TEXT(Settings!$B$15,"#,##0"),""))</f>
        <v/>
      </c>
      <c r="S13" s="10">
        <f>IF(ISNUMBER(V13),RANK(V13,$V$12:$V$23,1),"")</f>
        <v/>
      </c>
      <c r="T13" s="16" t="n"/>
      <c r="U13" s="10">
        <f>IF(F13&gt;0,MAX(_xlfn.MAXIFS(Trades!$A$2:$A$1000,Trades!$B$2:$B$1000,B13,Trades!$C$2:$C$1000,"LUMP"),_xlfn.MAXIFS(Trades!$A$2:$A$1000,Trades!$B$2:$B$1000,B13,Trades!$C$2:$C$1000,"SIP")),"")</f>
        <v/>
      </c>
      <c r="V13" s="14">
        <f>IF(AND(Settings!$B$20="BUD",F13&gt;0,ISNUMBER(P13)),IF(P13&lt;=Settings!$B$11,P13,""),"")</f>
        <v/>
      </c>
    </row>
    <row r="14">
      <c r="A14" s="10" t="inlineStr">
        <is>
          <t>T1</t>
        </is>
      </c>
      <c r="B14" s="10">
        <f>Settings!B26</f>
        <v/>
      </c>
      <c r="C14" s="10">
        <f>B20</f>
        <v/>
      </c>
      <c r="D14" s="10">
        <f>Settings!A26</f>
        <v/>
      </c>
      <c r="E14" s="11">
        <f>_xlfn.MAXIFS(Trades!$A$2:$A$1000,Trades!$B$2:$B$1000,B14,Trades!$C$2:$C$1000,"SELL")</f>
        <v/>
      </c>
      <c r="F14" s="10">
        <f>SUMIFS(Trades!$E$2:$E$1000,Trades!$B$2:$B$1000,B14,Trades!$C$2:$C$1000,"&lt;&gt;SELL")-SUMIFS(Trades!$E$2:$E$1000,Trades!$B$2:$B$1000,B14,Trades!$C$2:$C$1000,"SELL")</f>
        <v/>
      </c>
      <c r="G14" s="12">
        <f>SUMIFS(Trades!$F$2:$F$1000,Trades!$B$2:$B$1000,B14,Trades!$C$2:$C$1000,"&lt;&gt;SELL",Trades!$A$2:$A$1000,"&gt;"&amp;E14)</f>
        <v/>
      </c>
      <c r="H14" s="13">
        <f>IF(F14&gt;0,G14/F14,0)</f>
        <v/>
      </c>
      <c r="I14" s="11">
        <f>IF(F14&gt;0,_xlfn.MAXIFS(Trades!$A$2:$A$1000,Trades!$B$2:$B$1000,B14,Trades!$C$2:$C$1000,"&lt;&gt;SELL",Trades!$A$2:$A$1000,"&gt;"&amp;E14),"")</f>
        <v/>
      </c>
      <c r="J14" s="13">
        <f>IF(F14&gt;0,IFERROR(AVERAGEIFS(Trades!$D$2:$D$1000,Trades!$B$2:$B$1000,B14,Trades!$C$2:$C$1000,"&lt;&gt;SELL",Trades!$A$2:$A$1000,I14),0),"")</f>
        <v/>
      </c>
      <c r="K14" s="11">
        <f>IF(F14&gt;0,_xlfn.MINIFS(Trades!$A$2:$A$1000,Trades!$B$2:$B$1000,B14,Trades!$C$2:$C$1000,"&lt;&gt;SELL",Trades!$A$2:$A$1000,"&gt;"&amp;E14),"")</f>
        <v/>
      </c>
      <c r="L14" s="13">
        <f>IF(ISNUMBER(T14),T14,IFERROR(GOOGLEFINANCE("NSE:"&amp;B14),""))</f>
        <v/>
      </c>
      <c r="M14" s="12">
        <f>IF(F14&gt;0,IF(ISNUMBER(L14),F14*L14,G14),0)</f>
        <v/>
      </c>
      <c r="N14" s="14">
        <f>IF(AND(F14&gt;0,ISNUMBER(L14)),L14/H14-1,"")</f>
        <v/>
      </c>
      <c r="O14" s="13">
        <f>IF(F14&gt;0,H14*(1+Settings!$B$8),"")</f>
        <v/>
      </c>
      <c r="P14" s="14">
        <f>IF(AND(F14&gt;0,ISNUMBER(L14)),L14/J14-1,"")</f>
        <v/>
      </c>
      <c r="Q14" s="11">
        <f>IF(F14&gt;0,DATE(YEAR(U14),MONTH(U14)+1,D14),IF(E14=0,IF(DAY(TODAY())&lt;=D14,DATE(YEAR(TODAY()),MONTH(TODAY()),D14),DATE(YEAR(TODAY()),MONTH(TODAY())+1,D14)),IF(DAY(E14)&lt;D14,DATE(YEAR(E14),MONTH(E14),D14),DATE(YEAR(E14),MONTH(E14)+1,D14))))</f>
        <v/>
      </c>
      <c r="R14" s="15">
        <f>IF(F14&gt;0,IF(AND(ISNUMBER(L14),L14&gt;=O14),"SELL ALL",IF(AND(ISNUMBER(L14),L14&lt;=H14*(1+Settings!$B$9),F20=0),"BUY PARTNER - lump "&amp;TEXT(Settings!$B$15,"#,##0"),IF(AND(Settings!$B$20="BUD",ISNUMBER(S14)),"BUD BUY #"&amp;S14,IF(AND(Settings!$B$20="SHIP",TODAY()&gt;=Q14),"SIP due - "&amp;TEXT(Settings!$B$16,"#,##0"),"")))),IF(AND(Settings!$B$20="SHIP",TODAY()&gt;=Q14),"LUMP due - "&amp;TEXT(Settings!$B$15,"#,##0"),""))</f>
        <v/>
      </c>
      <c r="S14" s="10">
        <f>IF(ISNUMBER(V14),RANK(V14,$V$12:$V$23,1),"")</f>
        <v/>
      </c>
      <c r="T14" s="16" t="n"/>
      <c r="U14" s="10">
        <f>IF(F14&gt;0,MAX(_xlfn.MAXIFS(Trades!$A$2:$A$1000,Trades!$B$2:$B$1000,B14,Trades!$C$2:$C$1000,"LUMP"),_xlfn.MAXIFS(Trades!$A$2:$A$1000,Trades!$B$2:$B$1000,B14,Trades!$C$2:$C$1000,"SIP")),"")</f>
        <v/>
      </c>
      <c r="V14" s="14">
        <f>IF(AND(Settings!$B$20="BUD",F14&gt;0,ISNUMBER(P14)),IF(P14&lt;=Settings!$B$11,P14,""),"")</f>
        <v/>
      </c>
    </row>
    <row r="15">
      <c r="A15" s="10" t="inlineStr">
        <is>
          <t>T1</t>
        </is>
      </c>
      <c r="B15" s="10">
        <f>Settings!B27</f>
        <v/>
      </c>
      <c r="C15" s="10">
        <f>B21</f>
        <v/>
      </c>
      <c r="D15" s="10">
        <f>Settings!A27</f>
        <v/>
      </c>
      <c r="E15" s="11">
        <f>_xlfn.MAXIFS(Trades!$A$2:$A$1000,Trades!$B$2:$B$1000,B15,Trades!$C$2:$C$1000,"SELL")</f>
        <v/>
      </c>
      <c r="F15" s="10">
        <f>SUMIFS(Trades!$E$2:$E$1000,Trades!$B$2:$B$1000,B15,Trades!$C$2:$C$1000,"&lt;&gt;SELL")-SUMIFS(Trades!$E$2:$E$1000,Trades!$B$2:$B$1000,B15,Trades!$C$2:$C$1000,"SELL")</f>
        <v/>
      </c>
      <c r="G15" s="12">
        <f>SUMIFS(Trades!$F$2:$F$1000,Trades!$B$2:$B$1000,B15,Trades!$C$2:$C$1000,"&lt;&gt;SELL",Trades!$A$2:$A$1000,"&gt;"&amp;E15)</f>
        <v/>
      </c>
      <c r="H15" s="13">
        <f>IF(F15&gt;0,G15/F15,0)</f>
        <v/>
      </c>
      <c r="I15" s="11">
        <f>IF(F15&gt;0,_xlfn.MAXIFS(Trades!$A$2:$A$1000,Trades!$B$2:$B$1000,B15,Trades!$C$2:$C$1000,"&lt;&gt;SELL",Trades!$A$2:$A$1000,"&gt;"&amp;E15),"")</f>
        <v/>
      </c>
      <c r="J15" s="13">
        <f>IF(F15&gt;0,IFERROR(AVERAGEIFS(Trades!$D$2:$D$1000,Trades!$B$2:$B$1000,B15,Trades!$C$2:$C$1000,"&lt;&gt;SELL",Trades!$A$2:$A$1000,I15),0),"")</f>
        <v/>
      </c>
      <c r="K15" s="11">
        <f>IF(F15&gt;0,_xlfn.MINIFS(Trades!$A$2:$A$1000,Trades!$B$2:$B$1000,B15,Trades!$C$2:$C$1000,"&lt;&gt;SELL",Trades!$A$2:$A$1000,"&gt;"&amp;E15),"")</f>
        <v/>
      </c>
      <c r="L15" s="13">
        <f>IF(ISNUMBER(T15),T15,IFERROR(GOOGLEFINANCE("NSE:"&amp;B15),""))</f>
        <v/>
      </c>
      <c r="M15" s="12">
        <f>IF(F15&gt;0,IF(ISNUMBER(L15),F15*L15,G15),0)</f>
        <v/>
      </c>
      <c r="N15" s="14">
        <f>IF(AND(F15&gt;0,ISNUMBER(L15)),L15/H15-1,"")</f>
        <v/>
      </c>
      <c r="O15" s="13">
        <f>IF(F15&gt;0,H15*(1+Settings!$B$8),"")</f>
        <v/>
      </c>
      <c r="P15" s="14">
        <f>IF(AND(F15&gt;0,ISNUMBER(L15)),L15/J15-1,"")</f>
        <v/>
      </c>
      <c r="Q15" s="11">
        <f>IF(F15&gt;0,DATE(YEAR(U15),MONTH(U15)+1,D15),IF(E15=0,IF(DAY(TODAY())&lt;=D15,DATE(YEAR(TODAY()),MONTH(TODAY()),D15),DATE(YEAR(TODAY()),MONTH(TODAY())+1,D15)),IF(DAY(E15)&lt;D15,DATE(YEAR(E15),MONTH(E15),D15),DATE(YEAR(E15),MONTH(E15)+1,D15))))</f>
        <v/>
      </c>
      <c r="R15" s="15">
        <f>IF(F15&gt;0,IF(AND(ISNUMBER(L15),L15&gt;=O15),"SELL ALL",IF(AND(ISNUMBER(L15),L15&lt;=H15*(1+Settings!$B$9),F21=0),"BUY PARTNER - lump "&amp;TEXT(Settings!$B$15,"#,##0"),IF(AND(Settings!$B$20="BUD",ISNUMBER(S15)),"BUD BUY #"&amp;S15,IF(AND(Settings!$B$20="SHIP",TODAY()&gt;=Q15),"SIP due - "&amp;TEXT(Settings!$B$16,"#,##0"),"")))),IF(AND(Settings!$B$20="SHIP",TODAY()&gt;=Q15),"LUMP due - "&amp;TEXT(Settings!$B$15,"#,##0"),""))</f>
        <v/>
      </c>
      <c r="S15" s="10">
        <f>IF(ISNUMBER(V15),RANK(V15,$V$12:$V$23,1),"")</f>
        <v/>
      </c>
      <c r="T15" s="16" t="n"/>
      <c r="U15" s="10">
        <f>IF(F15&gt;0,MAX(_xlfn.MAXIFS(Trades!$A$2:$A$1000,Trades!$B$2:$B$1000,B15,Trades!$C$2:$C$1000,"LUMP"),_xlfn.MAXIFS(Trades!$A$2:$A$1000,Trades!$B$2:$B$1000,B15,Trades!$C$2:$C$1000,"SIP")),"")</f>
        <v/>
      </c>
      <c r="V15" s="14">
        <f>IF(AND(Settings!$B$20="BUD",F15&gt;0,ISNUMBER(P15)),IF(P15&lt;=Settings!$B$11,P15,""),"")</f>
        <v/>
      </c>
    </row>
    <row r="16">
      <c r="A16" s="10" t="inlineStr">
        <is>
          <t>T1</t>
        </is>
      </c>
      <c r="B16" s="10">
        <f>Settings!B28</f>
        <v/>
      </c>
      <c r="C16" s="10">
        <f>B22</f>
        <v/>
      </c>
      <c r="D16" s="10">
        <f>Settings!A28</f>
        <v/>
      </c>
      <c r="E16" s="11">
        <f>_xlfn.MAXIFS(Trades!$A$2:$A$1000,Trades!$B$2:$B$1000,B16,Trades!$C$2:$C$1000,"SELL")</f>
        <v/>
      </c>
      <c r="F16" s="10">
        <f>SUMIFS(Trades!$E$2:$E$1000,Trades!$B$2:$B$1000,B16,Trades!$C$2:$C$1000,"&lt;&gt;SELL")-SUMIFS(Trades!$E$2:$E$1000,Trades!$B$2:$B$1000,B16,Trades!$C$2:$C$1000,"SELL")</f>
        <v/>
      </c>
      <c r="G16" s="12">
        <f>SUMIFS(Trades!$F$2:$F$1000,Trades!$B$2:$B$1000,B16,Trades!$C$2:$C$1000,"&lt;&gt;SELL",Trades!$A$2:$A$1000,"&gt;"&amp;E16)</f>
        <v/>
      </c>
      <c r="H16" s="13">
        <f>IF(F16&gt;0,G16/F16,0)</f>
        <v/>
      </c>
      <c r="I16" s="11">
        <f>IF(F16&gt;0,_xlfn.MAXIFS(Trades!$A$2:$A$1000,Trades!$B$2:$B$1000,B16,Trades!$C$2:$C$1000,"&lt;&gt;SELL",Trades!$A$2:$A$1000,"&gt;"&amp;E16),"")</f>
        <v/>
      </c>
      <c r="J16" s="13">
        <f>IF(F16&gt;0,IFERROR(AVERAGEIFS(Trades!$D$2:$D$1000,Trades!$B$2:$B$1000,B16,Trades!$C$2:$C$1000,"&lt;&gt;SELL",Trades!$A$2:$A$1000,I16),0),"")</f>
        <v/>
      </c>
      <c r="K16" s="11">
        <f>IF(F16&gt;0,_xlfn.MINIFS(Trades!$A$2:$A$1000,Trades!$B$2:$B$1000,B16,Trades!$C$2:$C$1000,"&lt;&gt;SELL",Trades!$A$2:$A$1000,"&gt;"&amp;E16),"")</f>
        <v/>
      </c>
      <c r="L16" s="13">
        <f>IF(ISNUMBER(T16),T16,IFERROR(GOOGLEFINANCE("NSE:"&amp;B16),""))</f>
        <v/>
      </c>
      <c r="M16" s="12">
        <f>IF(F16&gt;0,IF(ISNUMBER(L16),F16*L16,G16),0)</f>
        <v/>
      </c>
      <c r="N16" s="14">
        <f>IF(AND(F16&gt;0,ISNUMBER(L16)),L16/H16-1,"")</f>
        <v/>
      </c>
      <c r="O16" s="13">
        <f>IF(F16&gt;0,H16*(1+Settings!$B$8),"")</f>
        <v/>
      </c>
      <c r="P16" s="14">
        <f>IF(AND(F16&gt;0,ISNUMBER(L16)),L16/J16-1,"")</f>
        <v/>
      </c>
      <c r="Q16" s="11">
        <f>IF(F16&gt;0,DATE(YEAR(U16),MONTH(U16)+1,D16),IF(E16=0,IF(DAY(TODAY())&lt;=D16,DATE(YEAR(TODAY()),MONTH(TODAY()),D16),DATE(YEAR(TODAY()),MONTH(TODAY())+1,D16)),IF(DAY(E16)&lt;D16,DATE(YEAR(E16),MONTH(E16),D16),DATE(YEAR(E16),MONTH(E16)+1,D16))))</f>
        <v/>
      </c>
      <c r="R16" s="15">
        <f>IF(F16&gt;0,IF(AND(ISNUMBER(L16),L16&gt;=O16),"SELL ALL",IF(AND(ISNUMBER(L16),L16&lt;=H16*(1+Settings!$B$9),F22=0),"BUY PARTNER - lump "&amp;TEXT(Settings!$B$15,"#,##0"),IF(AND(Settings!$B$20="BUD",ISNUMBER(S16)),"BUD BUY #"&amp;S16,IF(AND(Settings!$B$20="SHIP",TODAY()&gt;=Q16),"SIP due - "&amp;TEXT(Settings!$B$16,"#,##0"),"")))),IF(AND(Settings!$B$20="SHIP",TODAY()&gt;=Q16),"LUMP due - "&amp;TEXT(Settings!$B$15,"#,##0"),""))</f>
        <v/>
      </c>
      <c r="S16" s="10">
        <f>IF(ISNUMBER(V16),RANK(V16,$V$12:$V$23,1),"")</f>
        <v/>
      </c>
      <c r="T16" s="16" t="n"/>
      <c r="U16" s="10">
        <f>IF(F16&gt;0,MAX(_xlfn.MAXIFS(Trades!$A$2:$A$1000,Trades!$B$2:$B$1000,B16,Trades!$C$2:$C$1000,"LUMP"),_xlfn.MAXIFS(Trades!$A$2:$A$1000,Trades!$B$2:$B$1000,B16,Trades!$C$2:$C$1000,"SIP")),"")</f>
        <v/>
      </c>
      <c r="V16" s="14">
        <f>IF(AND(Settings!$B$20="BUD",F16&gt;0,ISNUMBER(P16)),IF(P16&lt;=Settings!$B$11,P16,""),"")</f>
        <v/>
      </c>
    </row>
    <row r="17">
      <c r="A17" s="10" t="inlineStr">
        <is>
          <t>T1</t>
        </is>
      </c>
      <c r="B17" s="10">
        <f>Settings!B29</f>
        <v/>
      </c>
      <c r="C17" s="10">
        <f>B23</f>
        <v/>
      </c>
      <c r="D17" s="10">
        <f>Settings!A29</f>
        <v/>
      </c>
      <c r="E17" s="11">
        <f>_xlfn.MAXIFS(Trades!$A$2:$A$1000,Trades!$B$2:$B$1000,B17,Trades!$C$2:$C$1000,"SELL")</f>
        <v/>
      </c>
      <c r="F17" s="10">
        <f>SUMIFS(Trades!$E$2:$E$1000,Trades!$B$2:$B$1000,B17,Trades!$C$2:$C$1000,"&lt;&gt;SELL")-SUMIFS(Trades!$E$2:$E$1000,Trades!$B$2:$B$1000,B17,Trades!$C$2:$C$1000,"SELL")</f>
        <v/>
      </c>
      <c r="G17" s="12">
        <f>SUMIFS(Trades!$F$2:$F$1000,Trades!$B$2:$B$1000,B17,Trades!$C$2:$C$1000,"&lt;&gt;SELL",Trades!$A$2:$A$1000,"&gt;"&amp;E17)</f>
        <v/>
      </c>
      <c r="H17" s="13">
        <f>IF(F17&gt;0,G17/F17,0)</f>
        <v/>
      </c>
      <c r="I17" s="11">
        <f>IF(F17&gt;0,_xlfn.MAXIFS(Trades!$A$2:$A$1000,Trades!$B$2:$B$1000,B17,Trades!$C$2:$C$1000,"&lt;&gt;SELL",Trades!$A$2:$A$1000,"&gt;"&amp;E17),"")</f>
        <v/>
      </c>
      <c r="J17" s="13">
        <f>IF(F17&gt;0,IFERROR(AVERAGEIFS(Trades!$D$2:$D$1000,Trades!$B$2:$B$1000,B17,Trades!$C$2:$C$1000,"&lt;&gt;SELL",Trades!$A$2:$A$1000,I17),0),"")</f>
        <v/>
      </c>
      <c r="K17" s="11">
        <f>IF(F17&gt;0,_xlfn.MINIFS(Trades!$A$2:$A$1000,Trades!$B$2:$B$1000,B17,Trades!$C$2:$C$1000,"&lt;&gt;SELL",Trades!$A$2:$A$1000,"&gt;"&amp;E17),"")</f>
        <v/>
      </c>
      <c r="L17" s="13">
        <f>IF(ISNUMBER(T17),T17,IFERROR(GOOGLEFINANCE("NSE:"&amp;B17),""))</f>
        <v/>
      </c>
      <c r="M17" s="12">
        <f>IF(F17&gt;0,IF(ISNUMBER(L17),F17*L17,G17),0)</f>
        <v/>
      </c>
      <c r="N17" s="14">
        <f>IF(AND(F17&gt;0,ISNUMBER(L17)),L17/H17-1,"")</f>
        <v/>
      </c>
      <c r="O17" s="13">
        <f>IF(F17&gt;0,H17*(1+Settings!$B$8),"")</f>
        <v/>
      </c>
      <c r="P17" s="14">
        <f>IF(AND(F17&gt;0,ISNUMBER(L17)),L17/J17-1,"")</f>
        <v/>
      </c>
      <c r="Q17" s="11">
        <f>IF(F17&gt;0,DATE(YEAR(U17),MONTH(U17)+1,D17),IF(E17=0,IF(DAY(TODAY())&lt;=D17,DATE(YEAR(TODAY()),MONTH(TODAY()),D17),DATE(YEAR(TODAY()),MONTH(TODAY())+1,D17)),IF(DAY(E17)&lt;D17,DATE(YEAR(E17),MONTH(E17),D17),DATE(YEAR(E17),MONTH(E17)+1,D17))))</f>
        <v/>
      </c>
      <c r="R17" s="15">
        <f>IF(F17&gt;0,IF(AND(ISNUMBER(L17),L17&gt;=O17),"SELL ALL",IF(AND(ISNUMBER(L17),L17&lt;=H17*(1+Settings!$B$9),F23=0),"BUY PARTNER - lump "&amp;TEXT(Settings!$B$15,"#,##0"),IF(AND(Settings!$B$20="BUD",ISNUMBER(S17)),"BUD BUY #"&amp;S17,IF(AND(Settings!$B$20="SHIP",TODAY()&gt;=Q17),"SIP due - "&amp;TEXT(Settings!$B$16,"#,##0"),"")))),IF(AND(Settings!$B$20="SHIP",TODAY()&gt;=Q17),"LUMP due - "&amp;TEXT(Settings!$B$15,"#,##0"),""))</f>
        <v/>
      </c>
      <c r="S17" s="10">
        <f>IF(ISNUMBER(V17),RANK(V17,$V$12:$V$23,1),"")</f>
        <v/>
      </c>
      <c r="T17" s="16" t="n"/>
      <c r="U17" s="10">
        <f>IF(F17&gt;0,MAX(_xlfn.MAXIFS(Trades!$A$2:$A$1000,Trades!$B$2:$B$1000,B17,Trades!$C$2:$C$1000,"LUMP"),_xlfn.MAXIFS(Trades!$A$2:$A$1000,Trades!$B$2:$B$1000,B17,Trades!$C$2:$C$1000,"SIP")),"")</f>
        <v/>
      </c>
      <c r="V17" s="14">
        <f>IF(AND(Settings!$B$20="BUD",F17&gt;0,ISNUMBER(P17)),IF(P17&lt;=Settings!$B$11,P17,""),"")</f>
        <v/>
      </c>
    </row>
    <row r="18">
      <c r="A18" s="17" t="inlineStr">
        <is>
          <t>T2</t>
        </is>
      </c>
      <c r="B18" s="17">
        <f>Settings!C24</f>
        <v/>
      </c>
      <c r="C18" s="17">
        <f>B12</f>
        <v/>
      </c>
      <c r="D18" s="17">
        <f>IF(F18&gt;0,DAY(K18),"")</f>
        <v/>
      </c>
      <c r="E18" s="18">
        <f>_xlfn.MAXIFS(Trades!$A$2:$A$1000,Trades!$B$2:$B$1000,B18,Trades!$C$2:$C$1000,"SELL")</f>
        <v/>
      </c>
      <c r="F18" s="17">
        <f>SUMIFS(Trades!$E$2:$E$1000,Trades!$B$2:$B$1000,B18,Trades!$C$2:$C$1000,"&lt;&gt;SELL")-SUMIFS(Trades!$E$2:$E$1000,Trades!$B$2:$B$1000,B18,Trades!$C$2:$C$1000,"SELL")</f>
        <v/>
      </c>
      <c r="G18" s="19">
        <f>SUMIFS(Trades!$F$2:$F$1000,Trades!$B$2:$B$1000,B18,Trades!$C$2:$C$1000,"&lt;&gt;SELL",Trades!$A$2:$A$1000,"&gt;"&amp;E18)</f>
        <v/>
      </c>
      <c r="H18" s="20">
        <f>IF(F18&gt;0,G18/F18,0)</f>
        <v/>
      </c>
      <c r="I18" s="18">
        <f>IF(F18&gt;0,_xlfn.MAXIFS(Trades!$A$2:$A$1000,Trades!$B$2:$B$1000,B18,Trades!$C$2:$C$1000,"&lt;&gt;SELL",Trades!$A$2:$A$1000,"&gt;"&amp;E18),"")</f>
        <v/>
      </c>
      <c r="J18" s="20">
        <f>IF(F18&gt;0,IFERROR(AVERAGEIFS(Trades!$D$2:$D$1000,Trades!$B$2:$B$1000,B18,Trades!$C$2:$C$1000,"&lt;&gt;SELL",Trades!$A$2:$A$1000,I18),0),"")</f>
        <v/>
      </c>
      <c r="K18" s="18">
        <f>IF(F18&gt;0,_xlfn.MINIFS(Trades!$A$2:$A$1000,Trades!$B$2:$B$1000,B18,Trades!$C$2:$C$1000,"&lt;&gt;SELL",Trades!$A$2:$A$1000,"&gt;"&amp;E18),"")</f>
        <v/>
      </c>
      <c r="L18" s="20">
        <f>IF(ISNUMBER(T18),T18,IFERROR(GOOGLEFINANCE("NSE:"&amp;B18),""))</f>
        <v/>
      </c>
      <c r="M18" s="19">
        <f>IF(F18&gt;0,IF(ISNUMBER(L18),F18*L18,G18),0)</f>
        <v/>
      </c>
      <c r="N18" s="21">
        <f>IF(AND(F18&gt;0,ISNUMBER(L18)),L18/H18-1,"")</f>
        <v/>
      </c>
      <c r="O18" s="20">
        <f>IF(F18&gt;0,H18*(1+Settings!$B$8),"")</f>
        <v/>
      </c>
      <c r="P18" s="21">
        <f>IF(AND(F18&gt;0,ISNUMBER(L18)),L18/J18-1,"")</f>
        <v/>
      </c>
      <c r="Q18" s="18">
        <f>IF(F18&gt;0,DATE(YEAR(U18),MONTH(U18)+1,DAY(K18)),"")</f>
        <v/>
      </c>
      <c r="R18" s="22">
        <f>IF(F18&gt;0,IF(AND(ISNUMBER(L18),L18&gt;=O18),"SELL ALL",IF(AND(Settings!$B$20="BUD",ISNUMBER(S18)),"BUD BUY #"&amp;S18,IF(AND(Settings!$B$20="SHIP",TODAY()&gt;=Q18),"SIP due - "&amp;TEXT(Settings!$B$16,"#,##0"),""))),"Waits for trigger")</f>
        <v/>
      </c>
      <c r="S18" s="17">
        <f>IF(ISNUMBER(V18),RANK(V18,$V$12:$V$23,1),"")</f>
        <v/>
      </c>
      <c r="T18" s="16" t="n"/>
      <c r="U18" s="17">
        <f>IF(F18&gt;0,MAX(_xlfn.MAXIFS(Trades!$A$2:$A$1000,Trades!$B$2:$B$1000,B18,Trades!$C$2:$C$1000,"LUMP"),_xlfn.MAXIFS(Trades!$A$2:$A$1000,Trades!$B$2:$B$1000,B18,Trades!$C$2:$C$1000,"SIP")),"")</f>
        <v/>
      </c>
      <c r="V18" s="21">
        <f>IF(AND(Settings!$B$20="BUD",F18&gt;0,ISNUMBER(P18)),IF(P18&lt;=Settings!$B$11,P18,""),"")</f>
        <v/>
      </c>
    </row>
    <row r="19">
      <c r="A19" s="17" t="inlineStr">
        <is>
          <t>T2</t>
        </is>
      </c>
      <c r="B19" s="17">
        <f>Settings!C25</f>
        <v/>
      </c>
      <c r="C19" s="17">
        <f>B13</f>
        <v/>
      </c>
      <c r="D19" s="17">
        <f>IF(F19&gt;0,DAY(K19),"")</f>
        <v/>
      </c>
      <c r="E19" s="18">
        <f>_xlfn.MAXIFS(Trades!$A$2:$A$1000,Trades!$B$2:$B$1000,B19,Trades!$C$2:$C$1000,"SELL")</f>
        <v/>
      </c>
      <c r="F19" s="17">
        <f>SUMIFS(Trades!$E$2:$E$1000,Trades!$B$2:$B$1000,B19,Trades!$C$2:$C$1000,"&lt;&gt;SELL")-SUMIFS(Trades!$E$2:$E$1000,Trades!$B$2:$B$1000,B19,Trades!$C$2:$C$1000,"SELL")</f>
        <v/>
      </c>
      <c r="G19" s="19">
        <f>SUMIFS(Trades!$F$2:$F$1000,Trades!$B$2:$B$1000,B19,Trades!$C$2:$C$1000,"&lt;&gt;SELL",Trades!$A$2:$A$1000,"&gt;"&amp;E19)</f>
        <v/>
      </c>
      <c r="H19" s="20">
        <f>IF(F19&gt;0,G19/F19,0)</f>
        <v/>
      </c>
      <c r="I19" s="18">
        <f>IF(F19&gt;0,_xlfn.MAXIFS(Trades!$A$2:$A$1000,Trades!$B$2:$B$1000,B19,Trades!$C$2:$C$1000,"&lt;&gt;SELL",Trades!$A$2:$A$1000,"&gt;"&amp;E19),"")</f>
        <v/>
      </c>
      <c r="J19" s="20">
        <f>IF(F19&gt;0,IFERROR(AVERAGEIFS(Trades!$D$2:$D$1000,Trades!$B$2:$B$1000,B19,Trades!$C$2:$C$1000,"&lt;&gt;SELL",Trades!$A$2:$A$1000,I19),0),"")</f>
        <v/>
      </c>
      <c r="K19" s="18">
        <f>IF(F19&gt;0,_xlfn.MINIFS(Trades!$A$2:$A$1000,Trades!$B$2:$B$1000,B19,Trades!$C$2:$C$1000,"&lt;&gt;SELL",Trades!$A$2:$A$1000,"&gt;"&amp;E19),"")</f>
        <v/>
      </c>
      <c r="L19" s="20">
        <f>IF(ISNUMBER(T19),T19,IFERROR(GOOGLEFINANCE("NSE:"&amp;B19),""))</f>
        <v/>
      </c>
      <c r="M19" s="19">
        <f>IF(F19&gt;0,IF(ISNUMBER(L19),F19*L19,G19),0)</f>
        <v/>
      </c>
      <c r="N19" s="21">
        <f>IF(AND(F19&gt;0,ISNUMBER(L19)),L19/H19-1,"")</f>
        <v/>
      </c>
      <c r="O19" s="20">
        <f>IF(F19&gt;0,H19*(1+Settings!$B$8),"")</f>
        <v/>
      </c>
      <c r="P19" s="21">
        <f>IF(AND(F19&gt;0,ISNUMBER(L19)),L19/J19-1,"")</f>
        <v/>
      </c>
      <c r="Q19" s="18">
        <f>IF(F19&gt;0,DATE(YEAR(U19),MONTH(U19)+1,DAY(K19)),"")</f>
        <v/>
      </c>
      <c r="R19" s="22">
        <f>IF(F19&gt;0,IF(AND(ISNUMBER(L19),L19&gt;=O19),"SELL ALL",IF(AND(Settings!$B$20="BUD",ISNUMBER(S19)),"BUD BUY #"&amp;S19,IF(AND(Settings!$B$20="SHIP",TODAY()&gt;=Q19),"SIP due - "&amp;TEXT(Settings!$B$16,"#,##0"),""))),"Waits for trigger")</f>
        <v/>
      </c>
      <c r="S19" s="17">
        <f>IF(ISNUMBER(V19),RANK(V19,$V$12:$V$23,1),"")</f>
        <v/>
      </c>
      <c r="T19" s="16" t="n"/>
      <c r="U19" s="17">
        <f>IF(F19&gt;0,MAX(_xlfn.MAXIFS(Trades!$A$2:$A$1000,Trades!$B$2:$B$1000,B19,Trades!$C$2:$C$1000,"LUMP"),_xlfn.MAXIFS(Trades!$A$2:$A$1000,Trades!$B$2:$B$1000,B19,Trades!$C$2:$C$1000,"SIP")),"")</f>
        <v/>
      </c>
      <c r="V19" s="21">
        <f>IF(AND(Settings!$B$20="BUD",F19&gt;0,ISNUMBER(P19)),IF(P19&lt;=Settings!$B$11,P19,""),"")</f>
        <v/>
      </c>
    </row>
    <row r="20">
      <c r="A20" s="17" t="inlineStr">
        <is>
          <t>T2</t>
        </is>
      </c>
      <c r="B20" s="17">
        <f>Settings!C26</f>
        <v/>
      </c>
      <c r="C20" s="17">
        <f>B14</f>
        <v/>
      </c>
      <c r="D20" s="17">
        <f>IF(F20&gt;0,DAY(K20),"")</f>
        <v/>
      </c>
      <c r="E20" s="18">
        <f>_xlfn.MAXIFS(Trades!$A$2:$A$1000,Trades!$B$2:$B$1000,B20,Trades!$C$2:$C$1000,"SELL")</f>
        <v/>
      </c>
      <c r="F20" s="17">
        <f>SUMIFS(Trades!$E$2:$E$1000,Trades!$B$2:$B$1000,B20,Trades!$C$2:$C$1000,"&lt;&gt;SELL")-SUMIFS(Trades!$E$2:$E$1000,Trades!$B$2:$B$1000,B20,Trades!$C$2:$C$1000,"SELL")</f>
        <v/>
      </c>
      <c r="G20" s="19">
        <f>SUMIFS(Trades!$F$2:$F$1000,Trades!$B$2:$B$1000,B20,Trades!$C$2:$C$1000,"&lt;&gt;SELL",Trades!$A$2:$A$1000,"&gt;"&amp;E20)</f>
        <v/>
      </c>
      <c r="H20" s="20">
        <f>IF(F20&gt;0,G20/F20,0)</f>
        <v/>
      </c>
      <c r="I20" s="18">
        <f>IF(F20&gt;0,_xlfn.MAXIFS(Trades!$A$2:$A$1000,Trades!$B$2:$B$1000,B20,Trades!$C$2:$C$1000,"&lt;&gt;SELL",Trades!$A$2:$A$1000,"&gt;"&amp;E20),"")</f>
        <v/>
      </c>
      <c r="J20" s="20">
        <f>IF(F20&gt;0,IFERROR(AVERAGEIFS(Trades!$D$2:$D$1000,Trades!$B$2:$B$1000,B20,Trades!$C$2:$C$1000,"&lt;&gt;SELL",Trades!$A$2:$A$1000,I20),0),"")</f>
        <v/>
      </c>
      <c r="K20" s="18">
        <f>IF(F20&gt;0,_xlfn.MINIFS(Trades!$A$2:$A$1000,Trades!$B$2:$B$1000,B20,Trades!$C$2:$C$1000,"&lt;&gt;SELL",Trades!$A$2:$A$1000,"&gt;"&amp;E20),"")</f>
        <v/>
      </c>
      <c r="L20" s="20">
        <f>IF(ISNUMBER(T20),T20,IFERROR(GOOGLEFINANCE("NSE:"&amp;B20),""))</f>
        <v/>
      </c>
      <c r="M20" s="19">
        <f>IF(F20&gt;0,IF(ISNUMBER(L20),F20*L20,G20),0)</f>
        <v/>
      </c>
      <c r="N20" s="21">
        <f>IF(AND(F20&gt;0,ISNUMBER(L20)),L20/H20-1,"")</f>
        <v/>
      </c>
      <c r="O20" s="20">
        <f>IF(F20&gt;0,H20*(1+Settings!$B$8),"")</f>
        <v/>
      </c>
      <c r="P20" s="21">
        <f>IF(AND(F20&gt;0,ISNUMBER(L20)),L20/J20-1,"")</f>
        <v/>
      </c>
      <c r="Q20" s="18">
        <f>IF(F20&gt;0,DATE(YEAR(U20),MONTH(U20)+1,DAY(K20)),"")</f>
        <v/>
      </c>
      <c r="R20" s="22">
        <f>IF(F20&gt;0,IF(AND(ISNUMBER(L20),L20&gt;=O20),"SELL ALL",IF(AND(Settings!$B$20="BUD",ISNUMBER(S20)),"BUD BUY #"&amp;S20,IF(AND(Settings!$B$20="SHIP",TODAY()&gt;=Q20),"SIP due - "&amp;TEXT(Settings!$B$16,"#,##0"),""))),"Waits for trigger")</f>
        <v/>
      </c>
      <c r="S20" s="17">
        <f>IF(ISNUMBER(V20),RANK(V20,$V$12:$V$23,1),"")</f>
        <v/>
      </c>
      <c r="T20" s="16" t="n"/>
      <c r="U20" s="17">
        <f>IF(F20&gt;0,MAX(_xlfn.MAXIFS(Trades!$A$2:$A$1000,Trades!$B$2:$B$1000,B20,Trades!$C$2:$C$1000,"LUMP"),_xlfn.MAXIFS(Trades!$A$2:$A$1000,Trades!$B$2:$B$1000,B20,Trades!$C$2:$C$1000,"SIP")),"")</f>
        <v/>
      </c>
      <c r="V20" s="21">
        <f>IF(AND(Settings!$B$20="BUD",F20&gt;0,ISNUMBER(P20)),IF(P20&lt;=Settings!$B$11,P20,""),"")</f>
        <v/>
      </c>
    </row>
    <row r="21">
      <c r="A21" s="17" t="inlineStr">
        <is>
          <t>T2</t>
        </is>
      </c>
      <c r="B21" s="17">
        <f>Settings!C27</f>
        <v/>
      </c>
      <c r="C21" s="17">
        <f>B15</f>
        <v/>
      </c>
      <c r="D21" s="17">
        <f>IF(F21&gt;0,DAY(K21),"")</f>
        <v/>
      </c>
      <c r="E21" s="18">
        <f>_xlfn.MAXIFS(Trades!$A$2:$A$1000,Trades!$B$2:$B$1000,B21,Trades!$C$2:$C$1000,"SELL")</f>
        <v/>
      </c>
      <c r="F21" s="17">
        <f>SUMIFS(Trades!$E$2:$E$1000,Trades!$B$2:$B$1000,B21,Trades!$C$2:$C$1000,"&lt;&gt;SELL")-SUMIFS(Trades!$E$2:$E$1000,Trades!$B$2:$B$1000,B21,Trades!$C$2:$C$1000,"SELL")</f>
        <v/>
      </c>
      <c r="G21" s="19">
        <f>SUMIFS(Trades!$F$2:$F$1000,Trades!$B$2:$B$1000,B21,Trades!$C$2:$C$1000,"&lt;&gt;SELL",Trades!$A$2:$A$1000,"&gt;"&amp;E21)</f>
        <v/>
      </c>
      <c r="H21" s="20">
        <f>IF(F21&gt;0,G21/F21,0)</f>
        <v/>
      </c>
      <c r="I21" s="18">
        <f>IF(F21&gt;0,_xlfn.MAXIFS(Trades!$A$2:$A$1000,Trades!$B$2:$B$1000,B21,Trades!$C$2:$C$1000,"&lt;&gt;SELL",Trades!$A$2:$A$1000,"&gt;"&amp;E21),"")</f>
        <v/>
      </c>
      <c r="J21" s="20">
        <f>IF(F21&gt;0,IFERROR(AVERAGEIFS(Trades!$D$2:$D$1000,Trades!$B$2:$B$1000,B21,Trades!$C$2:$C$1000,"&lt;&gt;SELL",Trades!$A$2:$A$1000,I21),0),"")</f>
        <v/>
      </c>
      <c r="K21" s="18">
        <f>IF(F21&gt;0,_xlfn.MINIFS(Trades!$A$2:$A$1000,Trades!$B$2:$B$1000,B21,Trades!$C$2:$C$1000,"&lt;&gt;SELL",Trades!$A$2:$A$1000,"&gt;"&amp;E21),"")</f>
        <v/>
      </c>
      <c r="L21" s="20">
        <f>IF(ISNUMBER(T21),T21,IFERROR(GOOGLEFINANCE("NSE:"&amp;B21),""))</f>
        <v/>
      </c>
      <c r="M21" s="19">
        <f>IF(F21&gt;0,IF(ISNUMBER(L21),F21*L21,G21),0)</f>
        <v/>
      </c>
      <c r="N21" s="21">
        <f>IF(AND(F21&gt;0,ISNUMBER(L21)),L21/H21-1,"")</f>
        <v/>
      </c>
      <c r="O21" s="20">
        <f>IF(F21&gt;0,H21*(1+Settings!$B$8),"")</f>
        <v/>
      </c>
      <c r="P21" s="21">
        <f>IF(AND(F21&gt;0,ISNUMBER(L21)),L21/J21-1,"")</f>
        <v/>
      </c>
      <c r="Q21" s="18">
        <f>IF(F21&gt;0,DATE(YEAR(U21),MONTH(U21)+1,DAY(K21)),"")</f>
        <v/>
      </c>
      <c r="R21" s="22">
        <f>IF(F21&gt;0,IF(AND(ISNUMBER(L21),L21&gt;=O21),"SELL ALL",IF(AND(Settings!$B$20="BUD",ISNUMBER(S21)),"BUD BUY #"&amp;S21,IF(AND(Settings!$B$20="SHIP",TODAY()&gt;=Q21),"SIP due - "&amp;TEXT(Settings!$B$16,"#,##0"),""))),"Waits for trigger")</f>
        <v/>
      </c>
      <c r="S21" s="17">
        <f>IF(ISNUMBER(V21),RANK(V21,$V$12:$V$23,1),"")</f>
        <v/>
      </c>
      <c r="T21" s="16" t="n"/>
      <c r="U21" s="17">
        <f>IF(F21&gt;0,MAX(_xlfn.MAXIFS(Trades!$A$2:$A$1000,Trades!$B$2:$B$1000,B21,Trades!$C$2:$C$1000,"LUMP"),_xlfn.MAXIFS(Trades!$A$2:$A$1000,Trades!$B$2:$B$1000,B21,Trades!$C$2:$C$1000,"SIP")),"")</f>
        <v/>
      </c>
      <c r="V21" s="21">
        <f>IF(AND(Settings!$B$20="BUD",F21&gt;0,ISNUMBER(P21)),IF(P21&lt;=Settings!$B$11,P21,""),"")</f>
        <v/>
      </c>
    </row>
    <row r="22">
      <c r="A22" s="17" t="inlineStr">
        <is>
          <t>T2</t>
        </is>
      </c>
      <c r="B22" s="17">
        <f>Settings!C28</f>
        <v/>
      </c>
      <c r="C22" s="17">
        <f>B16</f>
        <v/>
      </c>
      <c r="D22" s="17">
        <f>IF(F22&gt;0,DAY(K22),"")</f>
        <v/>
      </c>
      <c r="E22" s="18">
        <f>_xlfn.MAXIFS(Trades!$A$2:$A$1000,Trades!$B$2:$B$1000,B22,Trades!$C$2:$C$1000,"SELL")</f>
        <v/>
      </c>
      <c r="F22" s="17">
        <f>SUMIFS(Trades!$E$2:$E$1000,Trades!$B$2:$B$1000,B22,Trades!$C$2:$C$1000,"&lt;&gt;SELL")-SUMIFS(Trades!$E$2:$E$1000,Trades!$B$2:$B$1000,B22,Trades!$C$2:$C$1000,"SELL")</f>
        <v/>
      </c>
      <c r="G22" s="19">
        <f>SUMIFS(Trades!$F$2:$F$1000,Trades!$B$2:$B$1000,B22,Trades!$C$2:$C$1000,"&lt;&gt;SELL",Trades!$A$2:$A$1000,"&gt;"&amp;E22)</f>
        <v/>
      </c>
      <c r="H22" s="20">
        <f>IF(F22&gt;0,G22/F22,0)</f>
        <v/>
      </c>
      <c r="I22" s="18">
        <f>IF(F22&gt;0,_xlfn.MAXIFS(Trades!$A$2:$A$1000,Trades!$B$2:$B$1000,B22,Trades!$C$2:$C$1000,"&lt;&gt;SELL",Trades!$A$2:$A$1000,"&gt;"&amp;E22),"")</f>
        <v/>
      </c>
      <c r="J22" s="20">
        <f>IF(F22&gt;0,IFERROR(AVERAGEIFS(Trades!$D$2:$D$1000,Trades!$B$2:$B$1000,B22,Trades!$C$2:$C$1000,"&lt;&gt;SELL",Trades!$A$2:$A$1000,I22),0),"")</f>
        <v/>
      </c>
      <c r="K22" s="18">
        <f>IF(F22&gt;0,_xlfn.MINIFS(Trades!$A$2:$A$1000,Trades!$B$2:$B$1000,B22,Trades!$C$2:$C$1000,"&lt;&gt;SELL",Trades!$A$2:$A$1000,"&gt;"&amp;E22),"")</f>
        <v/>
      </c>
      <c r="L22" s="20">
        <f>IF(ISNUMBER(T22),T22,IFERROR(GOOGLEFINANCE("NSE:"&amp;B22),""))</f>
        <v/>
      </c>
      <c r="M22" s="19">
        <f>IF(F22&gt;0,IF(ISNUMBER(L22),F22*L22,G22),0)</f>
        <v/>
      </c>
      <c r="N22" s="21">
        <f>IF(AND(F22&gt;0,ISNUMBER(L22)),L22/H22-1,"")</f>
        <v/>
      </c>
      <c r="O22" s="20">
        <f>IF(F22&gt;0,H22*(1+Settings!$B$8),"")</f>
        <v/>
      </c>
      <c r="P22" s="21">
        <f>IF(AND(F22&gt;0,ISNUMBER(L22)),L22/J22-1,"")</f>
        <v/>
      </c>
      <c r="Q22" s="18">
        <f>IF(F22&gt;0,DATE(YEAR(U22),MONTH(U22)+1,DAY(K22)),"")</f>
        <v/>
      </c>
      <c r="R22" s="22">
        <f>IF(F22&gt;0,IF(AND(ISNUMBER(L22),L22&gt;=O22),"SELL ALL",IF(AND(Settings!$B$20="BUD",ISNUMBER(S22)),"BUD BUY #"&amp;S22,IF(AND(Settings!$B$20="SHIP",TODAY()&gt;=Q22),"SIP due - "&amp;TEXT(Settings!$B$16,"#,##0"),""))),"Waits for trigger")</f>
        <v/>
      </c>
      <c r="S22" s="17">
        <f>IF(ISNUMBER(V22),RANK(V22,$V$12:$V$23,1),"")</f>
        <v/>
      </c>
      <c r="T22" s="16" t="n"/>
      <c r="U22" s="17">
        <f>IF(F22&gt;0,MAX(_xlfn.MAXIFS(Trades!$A$2:$A$1000,Trades!$B$2:$B$1000,B22,Trades!$C$2:$C$1000,"LUMP"),_xlfn.MAXIFS(Trades!$A$2:$A$1000,Trades!$B$2:$B$1000,B22,Trades!$C$2:$C$1000,"SIP")),"")</f>
        <v/>
      </c>
      <c r="V22" s="21">
        <f>IF(AND(Settings!$B$20="BUD",F22&gt;0,ISNUMBER(P22)),IF(P22&lt;=Settings!$B$11,P22,""),"")</f>
        <v/>
      </c>
    </row>
    <row r="23">
      <c r="A23" s="17" t="inlineStr">
        <is>
          <t>T2</t>
        </is>
      </c>
      <c r="B23" s="17">
        <f>Settings!C29</f>
        <v/>
      </c>
      <c r="C23" s="17">
        <f>B17</f>
        <v/>
      </c>
      <c r="D23" s="17">
        <f>IF(F23&gt;0,DAY(K23),"")</f>
        <v/>
      </c>
      <c r="E23" s="18">
        <f>_xlfn.MAXIFS(Trades!$A$2:$A$1000,Trades!$B$2:$B$1000,B23,Trades!$C$2:$C$1000,"SELL")</f>
        <v/>
      </c>
      <c r="F23" s="17">
        <f>SUMIFS(Trades!$E$2:$E$1000,Trades!$B$2:$B$1000,B23,Trades!$C$2:$C$1000,"&lt;&gt;SELL")-SUMIFS(Trades!$E$2:$E$1000,Trades!$B$2:$B$1000,B23,Trades!$C$2:$C$1000,"SELL")</f>
        <v/>
      </c>
      <c r="G23" s="19">
        <f>SUMIFS(Trades!$F$2:$F$1000,Trades!$B$2:$B$1000,B23,Trades!$C$2:$C$1000,"&lt;&gt;SELL",Trades!$A$2:$A$1000,"&gt;"&amp;E23)</f>
        <v/>
      </c>
      <c r="H23" s="20">
        <f>IF(F23&gt;0,G23/F23,0)</f>
        <v/>
      </c>
      <c r="I23" s="18">
        <f>IF(F23&gt;0,_xlfn.MAXIFS(Trades!$A$2:$A$1000,Trades!$B$2:$B$1000,B23,Trades!$C$2:$C$1000,"&lt;&gt;SELL",Trades!$A$2:$A$1000,"&gt;"&amp;E23),"")</f>
        <v/>
      </c>
      <c r="J23" s="20">
        <f>IF(F23&gt;0,IFERROR(AVERAGEIFS(Trades!$D$2:$D$1000,Trades!$B$2:$B$1000,B23,Trades!$C$2:$C$1000,"&lt;&gt;SELL",Trades!$A$2:$A$1000,I23),0),"")</f>
        <v/>
      </c>
      <c r="K23" s="18">
        <f>IF(F23&gt;0,_xlfn.MINIFS(Trades!$A$2:$A$1000,Trades!$B$2:$B$1000,B23,Trades!$C$2:$C$1000,"&lt;&gt;SELL",Trades!$A$2:$A$1000,"&gt;"&amp;E23),"")</f>
        <v/>
      </c>
      <c r="L23" s="20">
        <f>IF(ISNUMBER(T23),T23,IFERROR(GOOGLEFINANCE("NSE:"&amp;B23),""))</f>
        <v/>
      </c>
      <c r="M23" s="19">
        <f>IF(F23&gt;0,IF(ISNUMBER(L23),F23*L23,G23),0)</f>
        <v/>
      </c>
      <c r="N23" s="21">
        <f>IF(AND(F23&gt;0,ISNUMBER(L23)),L23/H23-1,"")</f>
        <v/>
      </c>
      <c r="O23" s="20">
        <f>IF(F23&gt;0,H23*(1+Settings!$B$8),"")</f>
        <v/>
      </c>
      <c r="P23" s="21">
        <f>IF(AND(F23&gt;0,ISNUMBER(L23)),L23/J23-1,"")</f>
        <v/>
      </c>
      <c r="Q23" s="18">
        <f>IF(F23&gt;0,DATE(YEAR(U23),MONTH(U23)+1,DAY(K23)),"")</f>
        <v/>
      </c>
      <c r="R23" s="22">
        <f>IF(F23&gt;0,IF(AND(ISNUMBER(L23),L23&gt;=O23),"SELL ALL",IF(AND(Settings!$B$20="BUD",ISNUMBER(S23)),"BUD BUY #"&amp;S23,IF(AND(Settings!$B$20="SHIP",TODAY()&gt;=Q23),"SIP due - "&amp;TEXT(Settings!$B$16,"#,##0"),""))),"Waits for trigger")</f>
        <v/>
      </c>
      <c r="S23" s="17">
        <f>IF(ISNUMBER(V23),RANK(V23,$V$12:$V$23,1),"")</f>
        <v/>
      </c>
      <c r="T23" s="16" t="n"/>
      <c r="U23" s="17">
        <f>IF(F23&gt;0,MAX(_xlfn.MAXIFS(Trades!$A$2:$A$1000,Trades!$B$2:$B$1000,B23,Trades!$C$2:$C$1000,"LUMP"),_xlfn.MAXIFS(Trades!$A$2:$A$1000,Trades!$B$2:$B$1000,B23,Trades!$C$2:$C$1000,"SIP")),"")</f>
        <v/>
      </c>
      <c r="V23" s="21">
        <f>IF(AND(Settings!$B$20="BUD",F23&gt;0,ISNUMBER(P23)),IF(P23&lt;=Settings!$B$11,P23,""),"")</f>
        <v/>
      </c>
    </row>
  </sheetData>
  <conditionalFormatting sqref="R12:R23">
    <cfRule type="expression" priority="1" dxfId="0">
      <formula>LEFT($R12,4)="SELL"</formula>
    </cfRule>
    <cfRule type="expression" priority="2" dxfId="1">
      <formula>OR(LEFT($R12,3)="BUY",LEFT($R12,3)="BUD")</formula>
    </cfRule>
    <cfRule type="expression" priority="3" dxfId="2">
      <formula>OR(LEFT($R12,3)="SIP",LEFT($R12,4)="LUMP")</formula>
    </cfRule>
  </conditionalFormatting>
  <conditionalFormatting sqref="B3">
    <cfRule type="expression" priority="4" dxfId="3">
      <formula>$B$3="BUD"</formula>
    </cfRule>
  </conditionalFormatting>
  <conditionalFormatting sqref="N12:N23">
    <cfRule type="expression" priority="5" dxfId="4">
      <formula>AND(ISNUMBER($N12),$N12&lt;0)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8" customWidth="1" min="3" max="3"/>
    <col width="28" customWidth="1" min="5" max="5"/>
  </cols>
  <sheetData>
    <row r="1">
      <c r="A1" s="1" t="inlineStr">
        <is>
          <t>Settings</t>
        </is>
      </c>
    </row>
    <row r="2">
      <c r="A2" s="2" t="inlineStr">
        <is>
          <t>Yellow cells are inputs. Everything else is calculated.</t>
        </is>
      </c>
    </row>
    <row r="3">
      <c r="A3" t="inlineStr">
        <is>
          <t>Total capital (base)</t>
        </is>
      </c>
      <c r="B3" s="23" t="n">
        <v>100000</v>
      </c>
    </row>
    <row r="4">
      <c r="A4" t="inlineStr">
        <is>
          <t>Compound profits into capital? (Yes/No)</t>
        </is>
      </c>
      <c r="B4" s="24" t="inlineStr">
        <is>
          <t>No</t>
        </is>
      </c>
    </row>
    <row r="5">
      <c r="A5" t="inlineStr">
        <is>
          <t>Lump sum, % of capital</t>
        </is>
      </c>
      <c r="B5" s="25" t="n">
        <v>0.06</v>
      </c>
    </row>
    <row r="6">
      <c r="A6" t="inlineStr">
        <is>
          <t>SIP, % of capital</t>
        </is>
      </c>
      <c r="B6" s="25" t="n">
        <v>0.016</v>
      </c>
    </row>
    <row r="7">
      <c r="A7" t="inlineStr">
        <is>
          <t>Bud buy, % of SIP</t>
        </is>
      </c>
      <c r="B7" s="26" t="n">
        <v>0.5</v>
      </c>
    </row>
    <row r="8">
      <c r="A8" t="inlineStr">
        <is>
          <t>Sell target (gain vs average cost)</t>
        </is>
      </c>
      <c r="B8" s="25" t="n">
        <v>0.05</v>
      </c>
    </row>
    <row r="9">
      <c r="A9" t="inlineStr">
        <is>
          <t>Track 2 trigger (fall vs average cost)</t>
        </is>
      </c>
      <c r="B9" s="25" t="n">
        <v>-0.05</v>
      </c>
    </row>
    <row r="10">
      <c r="A10" t="inlineStr">
        <is>
          <t>Bud mode starts above (% of capital deployed)</t>
        </is>
      </c>
      <c r="B10" s="26" t="n">
        <v>0.8</v>
      </c>
    </row>
    <row r="11">
      <c r="A11" t="inlineStr">
        <is>
          <t>Bud buy trigger (fall vs LAST buy price)</t>
        </is>
      </c>
      <c r="B11" s="25" t="n">
        <v>-0.03</v>
      </c>
    </row>
    <row r="12">
      <c r="A12" t="inlineStr">
        <is>
          <t>Gold ETF code</t>
        </is>
      </c>
      <c r="B12" s="24" t="inlineStr">
        <is>
          <t>GOLDBEES</t>
        </is>
      </c>
    </row>
    <row r="14">
      <c r="A14" s="3" t="inlineStr">
        <is>
          <t>Effective capital</t>
        </is>
      </c>
      <c r="B14" s="27">
        <f>B3+IF(B4="Yes",SUM(Trades!$H$2:$H$1000),0)</f>
        <v/>
      </c>
    </row>
    <row r="15">
      <c r="A15" s="3" t="inlineStr">
        <is>
          <t>Lump sum amount</t>
        </is>
      </c>
      <c r="B15" s="27">
        <f>B14*B5</f>
        <v/>
      </c>
    </row>
    <row r="16">
      <c r="A16" s="3" t="inlineStr">
        <is>
          <t>SIP amount</t>
        </is>
      </c>
      <c r="B16" s="27">
        <f>B14*B6</f>
        <v/>
      </c>
    </row>
    <row r="17">
      <c r="A17" s="3" t="inlineStr">
        <is>
          <t>Bud buy amount</t>
        </is>
      </c>
      <c r="B17" s="27">
        <f>B16*B7</f>
        <v/>
      </c>
    </row>
    <row r="18">
      <c r="A18" s="3" t="inlineStr">
        <is>
          <t>Capital deployed (open positions)</t>
        </is>
      </c>
      <c r="B18" s="27">
        <f>SUM(Dashboard!$G$12:$G$23)</f>
        <v/>
      </c>
    </row>
    <row r="19">
      <c r="A19" s="3" t="inlineStr">
        <is>
          <t>Deployed % of capital</t>
        </is>
      </c>
      <c r="B19" s="28">
        <f>B18/B14</f>
        <v/>
      </c>
    </row>
    <row r="20">
      <c r="A20" s="3" t="inlineStr">
        <is>
          <t>MODE</t>
        </is>
      </c>
      <c r="B20" s="22">
        <f>IF(B19&gt;B10,"BUD","SHIP")</f>
        <v/>
      </c>
    </row>
    <row r="22">
      <c r="A22" s="8" t="inlineStr">
        <is>
          <t>ETF pairs</t>
        </is>
      </c>
    </row>
    <row r="23">
      <c r="A23" s="9" t="inlineStr">
        <is>
          <t>Buy day</t>
        </is>
      </c>
      <c r="B23" s="9" t="inlineStr">
        <is>
          <t>Track 1 (Nifty 50)</t>
        </is>
      </c>
      <c r="C23" s="9" t="inlineStr">
        <is>
          <t>Track 2 partner (Bank Nifty)</t>
        </is>
      </c>
      <c r="E23" s="9" t="inlineStr">
        <is>
          <t>All ETF codes (for dropdowns)</t>
        </is>
      </c>
    </row>
    <row r="24">
      <c r="A24" s="24" t="n">
        <v>1</v>
      </c>
      <c r="B24" s="24" t="inlineStr">
        <is>
          <t>NIFTYBEES</t>
        </is>
      </c>
      <c r="C24" s="24" t="inlineStr">
        <is>
          <t>BANKBEES</t>
        </is>
      </c>
      <c r="E24">
        <f>B24</f>
        <v/>
      </c>
    </row>
    <row r="25">
      <c r="A25" s="24" t="n">
        <v>5</v>
      </c>
      <c r="B25" s="24" t="inlineStr">
        <is>
          <t>NIFTYIETF</t>
        </is>
      </c>
      <c r="C25" s="24" t="inlineStr">
        <is>
          <t>BANKIETF</t>
        </is>
      </c>
      <c r="E25">
        <f>B25</f>
        <v/>
      </c>
    </row>
    <row r="26">
      <c r="A26" s="24" t="n">
        <v>10</v>
      </c>
      <c r="B26" s="24" t="inlineStr">
        <is>
          <t>SETFNIF50</t>
        </is>
      </c>
      <c r="C26" s="24" t="inlineStr">
        <is>
          <t>SETFNIFBK</t>
        </is>
      </c>
      <c r="E26">
        <f>B26</f>
        <v/>
      </c>
    </row>
    <row r="27">
      <c r="A27" s="24" t="n">
        <v>15</v>
      </c>
      <c r="B27" s="24" t="inlineStr">
        <is>
          <t>NIFTY1</t>
        </is>
      </c>
      <c r="C27" s="24" t="inlineStr">
        <is>
          <t>BANKNIFTY1</t>
        </is>
      </c>
      <c r="E27">
        <f>B27</f>
        <v/>
      </c>
    </row>
    <row r="28">
      <c r="A28" s="24" t="n">
        <v>20</v>
      </c>
      <c r="B28" s="24" t="inlineStr">
        <is>
          <t>HDFCNIFTY</t>
        </is>
      </c>
      <c r="C28" s="24" t="inlineStr">
        <is>
          <t>HDFCNIFBAN</t>
        </is>
      </c>
      <c r="E28">
        <f>B28</f>
        <v/>
      </c>
    </row>
    <row r="29">
      <c r="A29" s="24" t="n">
        <v>25</v>
      </c>
      <c r="B29" s="24" t="inlineStr">
        <is>
          <t>NIFTYBETA</t>
        </is>
      </c>
      <c r="C29" s="24" t="inlineStr">
        <is>
          <t>BANKBETA</t>
        </is>
      </c>
      <c r="E29">
        <f>B29</f>
        <v/>
      </c>
    </row>
    <row r="30">
      <c r="E30">
        <f>C24</f>
        <v/>
      </c>
    </row>
    <row r="31">
      <c r="E31">
        <f>C25</f>
        <v/>
      </c>
    </row>
    <row r="32">
      <c r="E32">
        <f>C26</f>
        <v/>
      </c>
    </row>
    <row r="33">
      <c r="E33">
        <f>C27</f>
        <v/>
      </c>
    </row>
    <row r="34">
      <c r="E34">
        <f>C28</f>
        <v/>
      </c>
    </row>
    <row r="35">
      <c r="E35">
        <f>C29</f>
        <v/>
      </c>
    </row>
  </sheetData>
  <dataValidations count="1">
    <dataValidation sqref="B4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18" customWidth="1" min="8" max="8"/>
    <col width="36" customWidth="1" min="9" max="9"/>
  </cols>
  <sheetData>
    <row r="1" ht="32" customHeight="1">
      <c r="A1" s="9" t="inlineStr">
        <is>
          <t>Date</t>
        </is>
      </c>
      <c r="B1" s="9" t="inlineStr">
        <is>
          <t>ETF code</t>
        </is>
      </c>
      <c r="C1" s="9" t="inlineStr">
        <is>
          <t>Type</t>
        </is>
      </c>
      <c r="D1" s="9" t="inlineStr">
        <is>
          <t>Price</t>
        </is>
      </c>
      <c r="E1" s="9" t="inlineStr">
        <is>
          <t>Qty</t>
        </is>
      </c>
      <c r="F1" s="9" t="inlineStr">
        <is>
          <t>Amount</t>
        </is>
      </c>
      <c r="G1" s="9" t="inlineStr">
        <is>
          <t>Brokerage + charges</t>
        </is>
      </c>
      <c r="H1" s="9" t="inlineStr">
        <is>
          <t>Realised profit (SELL rows)</t>
        </is>
      </c>
      <c r="I1" s="9" t="inlineStr">
        <is>
          <t>Notes</t>
        </is>
      </c>
    </row>
    <row r="2">
      <c r="A2" s="29" t="n"/>
      <c r="B2" s="30" t="n"/>
      <c r="C2" s="30" t="n"/>
      <c r="D2" s="31" t="n"/>
      <c r="E2" s="30" t="n"/>
      <c r="F2" s="32">
        <f>IF(AND(ISNUMBER(D2),ISNUMBER(E2)),D2*E2,"")</f>
        <v/>
      </c>
      <c r="G2" s="31" t="n"/>
      <c r="H2" s="32">
        <f>IF(C2="SELL",F2-SUMIFS($F$2:$F$1000,$B$2:$B$1000,B2,$C$2:$C$1000,"&lt;&gt;SELL",$A$2:$A$1000,"&gt;"&amp;_xlfn.MAXIFS($A$2:$A$1000,$B$2:$B$1000,B2,$C$2:$C$1000,"SELL",$A$2:$A$1000,"&lt;"&amp;A2),$A$2:$A$1000,"&lt;="&amp;A2),"")</f>
        <v/>
      </c>
    </row>
    <row r="3">
      <c r="A3" s="29" t="n"/>
      <c r="B3" s="30" t="n"/>
      <c r="C3" s="30" t="n"/>
      <c r="D3" s="31" t="n"/>
      <c r="E3" s="30" t="n"/>
      <c r="F3" s="32">
        <f>IF(AND(ISNUMBER(D3),ISNUMBER(E3)),D3*E3,"")</f>
        <v/>
      </c>
      <c r="G3" s="31" t="n"/>
      <c r="H3" s="32">
        <f>IF(C3="SELL",F3-SUMIFS($F$2:$F$1000,$B$2:$B$1000,B3,$C$2:$C$1000,"&lt;&gt;SELL",$A$2:$A$1000,"&gt;"&amp;_xlfn.MAXIFS($A$2:$A$1000,$B$2:$B$1000,B3,$C$2:$C$1000,"SELL",$A$2:$A$1000,"&lt;"&amp;A3),$A$2:$A$1000,"&lt;="&amp;A3),"")</f>
        <v/>
      </c>
    </row>
    <row r="4">
      <c r="A4" s="29" t="n"/>
      <c r="B4" s="30" t="n"/>
      <c r="C4" s="30" t="n"/>
      <c r="D4" s="31" t="n"/>
      <c r="E4" s="30" t="n"/>
      <c r="F4" s="32">
        <f>IF(AND(ISNUMBER(D4),ISNUMBER(E4)),D4*E4,"")</f>
        <v/>
      </c>
      <c r="G4" s="31" t="n"/>
      <c r="H4" s="32">
        <f>IF(C4="SELL",F4-SUMIFS($F$2:$F$1000,$B$2:$B$1000,B4,$C$2:$C$1000,"&lt;&gt;SELL",$A$2:$A$1000,"&gt;"&amp;_xlfn.MAXIFS($A$2:$A$1000,$B$2:$B$1000,B4,$C$2:$C$1000,"SELL",$A$2:$A$1000,"&lt;"&amp;A4),$A$2:$A$1000,"&lt;="&amp;A4),"")</f>
        <v/>
      </c>
    </row>
    <row r="5">
      <c r="A5" s="29" t="n"/>
      <c r="B5" s="30" t="n"/>
      <c r="C5" s="30" t="n"/>
      <c r="D5" s="31" t="n"/>
      <c r="E5" s="30" t="n"/>
      <c r="F5" s="32">
        <f>IF(AND(ISNUMBER(D5),ISNUMBER(E5)),D5*E5,"")</f>
        <v/>
      </c>
      <c r="G5" s="31" t="n"/>
      <c r="H5" s="32">
        <f>IF(C5="SELL",F5-SUMIFS($F$2:$F$1000,$B$2:$B$1000,B5,$C$2:$C$1000,"&lt;&gt;SELL",$A$2:$A$1000,"&gt;"&amp;_xlfn.MAXIFS($A$2:$A$1000,$B$2:$B$1000,B5,$C$2:$C$1000,"SELL",$A$2:$A$1000,"&lt;"&amp;A5),$A$2:$A$1000,"&lt;="&amp;A5),"")</f>
        <v/>
      </c>
    </row>
    <row r="6">
      <c r="A6" s="29" t="n"/>
      <c r="B6" s="30" t="n"/>
      <c r="C6" s="30" t="n"/>
      <c r="D6" s="31" t="n"/>
      <c r="E6" s="30" t="n"/>
      <c r="F6" s="32">
        <f>IF(AND(ISNUMBER(D6),ISNUMBER(E6)),D6*E6,"")</f>
        <v/>
      </c>
      <c r="G6" s="31" t="n"/>
      <c r="H6" s="32">
        <f>IF(C6="SELL",F6-SUMIFS($F$2:$F$1000,$B$2:$B$1000,B6,$C$2:$C$1000,"&lt;&gt;SELL",$A$2:$A$1000,"&gt;"&amp;_xlfn.MAXIFS($A$2:$A$1000,$B$2:$B$1000,B6,$C$2:$C$1000,"SELL",$A$2:$A$1000,"&lt;"&amp;A6),$A$2:$A$1000,"&lt;="&amp;A6),"")</f>
        <v/>
      </c>
    </row>
    <row r="7">
      <c r="A7" s="29" t="n"/>
      <c r="B7" s="30" t="n"/>
      <c r="C7" s="30" t="n"/>
      <c r="D7" s="31" t="n"/>
      <c r="E7" s="30" t="n"/>
      <c r="F7" s="32">
        <f>IF(AND(ISNUMBER(D7),ISNUMBER(E7)),D7*E7,"")</f>
        <v/>
      </c>
      <c r="G7" s="31" t="n"/>
      <c r="H7" s="32">
        <f>IF(C7="SELL",F7-SUMIFS($F$2:$F$1000,$B$2:$B$1000,B7,$C$2:$C$1000,"&lt;&gt;SELL",$A$2:$A$1000,"&gt;"&amp;_xlfn.MAXIFS($A$2:$A$1000,$B$2:$B$1000,B7,$C$2:$C$1000,"SELL",$A$2:$A$1000,"&lt;"&amp;A7),$A$2:$A$1000,"&lt;="&amp;A7),"")</f>
        <v/>
      </c>
    </row>
    <row r="8">
      <c r="A8" s="29" t="n"/>
      <c r="B8" s="30" t="n"/>
      <c r="C8" s="30" t="n"/>
      <c r="D8" s="31" t="n"/>
      <c r="E8" s="30" t="n"/>
      <c r="F8" s="32">
        <f>IF(AND(ISNUMBER(D8),ISNUMBER(E8)),D8*E8,"")</f>
        <v/>
      </c>
      <c r="G8" s="31" t="n"/>
      <c r="H8" s="32">
        <f>IF(C8="SELL",F8-SUMIFS($F$2:$F$1000,$B$2:$B$1000,B8,$C$2:$C$1000,"&lt;&gt;SELL",$A$2:$A$1000,"&gt;"&amp;_xlfn.MAXIFS($A$2:$A$1000,$B$2:$B$1000,B8,$C$2:$C$1000,"SELL",$A$2:$A$1000,"&lt;"&amp;A8),$A$2:$A$1000,"&lt;="&amp;A8),"")</f>
        <v/>
      </c>
    </row>
    <row r="9">
      <c r="A9" s="29" t="n"/>
      <c r="B9" s="30" t="n"/>
      <c r="C9" s="30" t="n"/>
      <c r="D9" s="31" t="n"/>
      <c r="E9" s="30" t="n"/>
      <c r="F9" s="32">
        <f>IF(AND(ISNUMBER(D9),ISNUMBER(E9)),D9*E9,"")</f>
        <v/>
      </c>
      <c r="G9" s="31" t="n"/>
      <c r="H9" s="32">
        <f>IF(C9="SELL",F9-SUMIFS($F$2:$F$1000,$B$2:$B$1000,B9,$C$2:$C$1000,"&lt;&gt;SELL",$A$2:$A$1000,"&gt;"&amp;_xlfn.MAXIFS($A$2:$A$1000,$B$2:$B$1000,B9,$C$2:$C$1000,"SELL",$A$2:$A$1000,"&lt;"&amp;A9),$A$2:$A$1000,"&lt;="&amp;A9),"")</f>
        <v/>
      </c>
    </row>
    <row r="10">
      <c r="A10" s="29" t="n"/>
      <c r="B10" s="30" t="n"/>
      <c r="C10" s="30" t="n"/>
      <c r="D10" s="31" t="n"/>
      <c r="E10" s="30" t="n"/>
      <c r="F10" s="32">
        <f>IF(AND(ISNUMBER(D10),ISNUMBER(E10)),D10*E10,"")</f>
        <v/>
      </c>
      <c r="G10" s="31" t="n"/>
      <c r="H10" s="32">
        <f>IF(C10="SELL",F10-SUMIFS($F$2:$F$1000,$B$2:$B$1000,B10,$C$2:$C$1000,"&lt;&gt;SELL",$A$2:$A$1000,"&gt;"&amp;_xlfn.MAXIFS($A$2:$A$1000,$B$2:$B$1000,B10,$C$2:$C$1000,"SELL",$A$2:$A$1000,"&lt;"&amp;A10),$A$2:$A$1000,"&lt;="&amp;A10),"")</f>
        <v/>
      </c>
    </row>
    <row r="11">
      <c r="A11" s="29" t="n"/>
      <c r="B11" s="30" t="n"/>
      <c r="C11" s="30" t="n"/>
      <c r="D11" s="31" t="n"/>
      <c r="E11" s="30" t="n"/>
      <c r="F11" s="32">
        <f>IF(AND(ISNUMBER(D11),ISNUMBER(E11)),D11*E11,"")</f>
        <v/>
      </c>
      <c r="G11" s="31" t="n"/>
      <c r="H11" s="32">
        <f>IF(C11="SELL",F11-SUMIFS($F$2:$F$1000,$B$2:$B$1000,B11,$C$2:$C$1000,"&lt;&gt;SELL",$A$2:$A$1000,"&gt;"&amp;_xlfn.MAXIFS($A$2:$A$1000,$B$2:$B$1000,B11,$C$2:$C$1000,"SELL",$A$2:$A$1000,"&lt;"&amp;A11),$A$2:$A$1000,"&lt;="&amp;A11),"")</f>
        <v/>
      </c>
    </row>
    <row r="12">
      <c r="A12" s="29" t="n"/>
      <c r="B12" s="30" t="n"/>
      <c r="C12" s="30" t="n"/>
      <c r="D12" s="31" t="n"/>
      <c r="E12" s="30" t="n"/>
      <c r="F12" s="32">
        <f>IF(AND(ISNUMBER(D12),ISNUMBER(E12)),D12*E12,"")</f>
        <v/>
      </c>
      <c r="G12" s="31" t="n"/>
      <c r="H12" s="32">
        <f>IF(C12="SELL",F12-SUMIFS($F$2:$F$1000,$B$2:$B$1000,B12,$C$2:$C$1000,"&lt;&gt;SELL",$A$2:$A$1000,"&gt;"&amp;_xlfn.MAXIFS($A$2:$A$1000,$B$2:$B$1000,B12,$C$2:$C$1000,"SELL",$A$2:$A$1000,"&lt;"&amp;A12),$A$2:$A$1000,"&lt;="&amp;A12),"")</f>
        <v/>
      </c>
    </row>
    <row r="13">
      <c r="A13" s="29" t="n"/>
      <c r="B13" s="30" t="n"/>
      <c r="C13" s="30" t="n"/>
      <c r="D13" s="31" t="n"/>
      <c r="E13" s="30" t="n"/>
      <c r="F13" s="32">
        <f>IF(AND(ISNUMBER(D13),ISNUMBER(E13)),D13*E13,"")</f>
        <v/>
      </c>
      <c r="G13" s="31" t="n"/>
      <c r="H13" s="32">
        <f>IF(C13="SELL",F13-SUMIFS($F$2:$F$1000,$B$2:$B$1000,B13,$C$2:$C$1000,"&lt;&gt;SELL",$A$2:$A$1000,"&gt;"&amp;_xlfn.MAXIFS($A$2:$A$1000,$B$2:$B$1000,B13,$C$2:$C$1000,"SELL",$A$2:$A$1000,"&lt;"&amp;A13),$A$2:$A$1000,"&lt;="&amp;A13),"")</f>
        <v/>
      </c>
    </row>
    <row r="14">
      <c r="A14" s="29" t="n"/>
      <c r="B14" s="30" t="n"/>
      <c r="C14" s="30" t="n"/>
      <c r="D14" s="31" t="n"/>
      <c r="E14" s="30" t="n"/>
      <c r="F14" s="32">
        <f>IF(AND(ISNUMBER(D14),ISNUMBER(E14)),D14*E14,"")</f>
        <v/>
      </c>
      <c r="G14" s="31" t="n"/>
      <c r="H14" s="32">
        <f>IF(C14="SELL",F14-SUMIFS($F$2:$F$1000,$B$2:$B$1000,B14,$C$2:$C$1000,"&lt;&gt;SELL",$A$2:$A$1000,"&gt;"&amp;_xlfn.MAXIFS($A$2:$A$1000,$B$2:$B$1000,B14,$C$2:$C$1000,"SELL",$A$2:$A$1000,"&lt;"&amp;A14),$A$2:$A$1000,"&lt;="&amp;A14),"")</f>
        <v/>
      </c>
    </row>
    <row r="15">
      <c r="A15" s="29" t="n"/>
      <c r="B15" s="30" t="n"/>
      <c r="C15" s="30" t="n"/>
      <c r="D15" s="31" t="n"/>
      <c r="E15" s="30" t="n"/>
      <c r="F15" s="32">
        <f>IF(AND(ISNUMBER(D15),ISNUMBER(E15)),D15*E15,"")</f>
        <v/>
      </c>
      <c r="G15" s="31" t="n"/>
      <c r="H15" s="32">
        <f>IF(C15="SELL",F15-SUMIFS($F$2:$F$1000,$B$2:$B$1000,B15,$C$2:$C$1000,"&lt;&gt;SELL",$A$2:$A$1000,"&gt;"&amp;_xlfn.MAXIFS($A$2:$A$1000,$B$2:$B$1000,B15,$C$2:$C$1000,"SELL",$A$2:$A$1000,"&lt;"&amp;A15),$A$2:$A$1000,"&lt;="&amp;A15),"")</f>
        <v/>
      </c>
    </row>
    <row r="16">
      <c r="A16" s="29" t="n"/>
      <c r="B16" s="30" t="n"/>
      <c r="C16" s="30" t="n"/>
      <c r="D16" s="31" t="n"/>
      <c r="E16" s="30" t="n"/>
      <c r="F16" s="32">
        <f>IF(AND(ISNUMBER(D16),ISNUMBER(E16)),D16*E16,"")</f>
        <v/>
      </c>
      <c r="G16" s="31" t="n"/>
      <c r="H16" s="32">
        <f>IF(C16="SELL",F16-SUMIFS($F$2:$F$1000,$B$2:$B$1000,B16,$C$2:$C$1000,"&lt;&gt;SELL",$A$2:$A$1000,"&gt;"&amp;_xlfn.MAXIFS($A$2:$A$1000,$B$2:$B$1000,B16,$C$2:$C$1000,"SELL",$A$2:$A$1000,"&lt;"&amp;A16),$A$2:$A$1000,"&lt;="&amp;A16),"")</f>
        <v/>
      </c>
    </row>
    <row r="17">
      <c r="A17" s="29" t="n"/>
      <c r="B17" s="30" t="n"/>
      <c r="C17" s="30" t="n"/>
      <c r="D17" s="31" t="n"/>
      <c r="E17" s="30" t="n"/>
      <c r="F17" s="32">
        <f>IF(AND(ISNUMBER(D17),ISNUMBER(E17)),D17*E17,"")</f>
        <v/>
      </c>
      <c r="G17" s="31" t="n"/>
      <c r="H17" s="32">
        <f>IF(C17="SELL",F17-SUMIFS($F$2:$F$1000,$B$2:$B$1000,B17,$C$2:$C$1000,"&lt;&gt;SELL",$A$2:$A$1000,"&gt;"&amp;_xlfn.MAXIFS($A$2:$A$1000,$B$2:$B$1000,B17,$C$2:$C$1000,"SELL",$A$2:$A$1000,"&lt;"&amp;A17),$A$2:$A$1000,"&lt;="&amp;A17),"")</f>
        <v/>
      </c>
    </row>
    <row r="18">
      <c r="A18" s="29" t="n"/>
      <c r="B18" s="30" t="n"/>
      <c r="C18" s="30" t="n"/>
      <c r="D18" s="31" t="n"/>
      <c r="E18" s="30" t="n"/>
      <c r="F18" s="32">
        <f>IF(AND(ISNUMBER(D18),ISNUMBER(E18)),D18*E18,"")</f>
        <v/>
      </c>
      <c r="G18" s="31" t="n"/>
      <c r="H18" s="32">
        <f>IF(C18="SELL",F18-SUMIFS($F$2:$F$1000,$B$2:$B$1000,B18,$C$2:$C$1000,"&lt;&gt;SELL",$A$2:$A$1000,"&gt;"&amp;_xlfn.MAXIFS($A$2:$A$1000,$B$2:$B$1000,B18,$C$2:$C$1000,"SELL",$A$2:$A$1000,"&lt;"&amp;A18),$A$2:$A$1000,"&lt;="&amp;A18),"")</f>
        <v/>
      </c>
    </row>
    <row r="19">
      <c r="A19" s="29" t="n"/>
      <c r="B19" s="30" t="n"/>
      <c r="C19" s="30" t="n"/>
      <c r="D19" s="31" t="n"/>
      <c r="E19" s="30" t="n"/>
      <c r="F19" s="32">
        <f>IF(AND(ISNUMBER(D19),ISNUMBER(E19)),D19*E19,"")</f>
        <v/>
      </c>
      <c r="G19" s="31" t="n"/>
      <c r="H19" s="32">
        <f>IF(C19="SELL",F19-SUMIFS($F$2:$F$1000,$B$2:$B$1000,B19,$C$2:$C$1000,"&lt;&gt;SELL",$A$2:$A$1000,"&gt;"&amp;_xlfn.MAXIFS($A$2:$A$1000,$B$2:$B$1000,B19,$C$2:$C$1000,"SELL",$A$2:$A$1000,"&lt;"&amp;A19),$A$2:$A$1000,"&lt;="&amp;A19),"")</f>
        <v/>
      </c>
    </row>
    <row r="20">
      <c r="A20" s="29" t="n"/>
      <c r="B20" s="30" t="n"/>
      <c r="C20" s="30" t="n"/>
      <c r="D20" s="31" t="n"/>
      <c r="E20" s="30" t="n"/>
      <c r="F20" s="32">
        <f>IF(AND(ISNUMBER(D20),ISNUMBER(E20)),D20*E20,"")</f>
        <v/>
      </c>
      <c r="G20" s="31" t="n"/>
      <c r="H20" s="32">
        <f>IF(C20="SELL",F20-SUMIFS($F$2:$F$1000,$B$2:$B$1000,B20,$C$2:$C$1000,"&lt;&gt;SELL",$A$2:$A$1000,"&gt;"&amp;_xlfn.MAXIFS($A$2:$A$1000,$B$2:$B$1000,B20,$C$2:$C$1000,"SELL",$A$2:$A$1000,"&lt;"&amp;A20),$A$2:$A$1000,"&lt;="&amp;A20),"")</f>
        <v/>
      </c>
    </row>
    <row r="21">
      <c r="A21" s="29" t="n"/>
      <c r="B21" s="30" t="n"/>
      <c r="C21" s="30" t="n"/>
      <c r="D21" s="31" t="n"/>
      <c r="E21" s="30" t="n"/>
      <c r="F21" s="32">
        <f>IF(AND(ISNUMBER(D21),ISNUMBER(E21)),D21*E21,"")</f>
        <v/>
      </c>
      <c r="G21" s="31" t="n"/>
      <c r="H21" s="32">
        <f>IF(C21="SELL",F21-SUMIFS($F$2:$F$1000,$B$2:$B$1000,B21,$C$2:$C$1000,"&lt;&gt;SELL",$A$2:$A$1000,"&gt;"&amp;_xlfn.MAXIFS($A$2:$A$1000,$B$2:$B$1000,B21,$C$2:$C$1000,"SELL",$A$2:$A$1000,"&lt;"&amp;A21),$A$2:$A$1000,"&lt;="&amp;A21),"")</f>
        <v/>
      </c>
    </row>
    <row r="22">
      <c r="A22" s="29" t="n"/>
      <c r="B22" s="30" t="n"/>
      <c r="C22" s="30" t="n"/>
      <c r="D22" s="31" t="n"/>
      <c r="E22" s="30" t="n"/>
      <c r="F22" s="32">
        <f>IF(AND(ISNUMBER(D22),ISNUMBER(E22)),D22*E22,"")</f>
        <v/>
      </c>
      <c r="G22" s="31" t="n"/>
      <c r="H22" s="32">
        <f>IF(C22="SELL",F22-SUMIFS($F$2:$F$1000,$B$2:$B$1000,B22,$C$2:$C$1000,"&lt;&gt;SELL",$A$2:$A$1000,"&gt;"&amp;_xlfn.MAXIFS($A$2:$A$1000,$B$2:$B$1000,B22,$C$2:$C$1000,"SELL",$A$2:$A$1000,"&lt;"&amp;A22),$A$2:$A$1000,"&lt;="&amp;A22),"")</f>
        <v/>
      </c>
    </row>
    <row r="23">
      <c r="A23" s="29" t="n"/>
      <c r="B23" s="30" t="n"/>
      <c r="C23" s="30" t="n"/>
      <c r="D23" s="31" t="n"/>
      <c r="E23" s="30" t="n"/>
      <c r="F23" s="32">
        <f>IF(AND(ISNUMBER(D23),ISNUMBER(E23)),D23*E23,"")</f>
        <v/>
      </c>
      <c r="G23" s="31" t="n"/>
      <c r="H23" s="32">
        <f>IF(C23="SELL",F23-SUMIFS($F$2:$F$1000,$B$2:$B$1000,B23,$C$2:$C$1000,"&lt;&gt;SELL",$A$2:$A$1000,"&gt;"&amp;_xlfn.MAXIFS($A$2:$A$1000,$B$2:$B$1000,B23,$C$2:$C$1000,"SELL",$A$2:$A$1000,"&lt;"&amp;A23),$A$2:$A$1000,"&lt;="&amp;A23),"")</f>
        <v/>
      </c>
    </row>
    <row r="24">
      <c r="A24" s="29" t="n"/>
      <c r="B24" s="30" t="n"/>
      <c r="C24" s="30" t="n"/>
      <c r="D24" s="31" t="n"/>
      <c r="E24" s="30" t="n"/>
      <c r="F24" s="32">
        <f>IF(AND(ISNUMBER(D24),ISNUMBER(E24)),D24*E24,"")</f>
        <v/>
      </c>
      <c r="G24" s="31" t="n"/>
      <c r="H24" s="32">
        <f>IF(C24="SELL",F24-SUMIFS($F$2:$F$1000,$B$2:$B$1000,B24,$C$2:$C$1000,"&lt;&gt;SELL",$A$2:$A$1000,"&gt;"&amp;_xlfn.MAXIFS($A$2:$A$1000,$B$2:$B$1000,B24,$C$2:$C$1000,"SELL",$A$2:$A$1000,"&lt;"&amp;A24),$A$2:$A$1000,"&lt;="&amp;A24),"")</f>
        <v/>
      </c>
    </row>
    <row r="25">
      <c r="A25" s="29" t="n"/>
      <c r="B25" s="30" t="n"/>
      <c r="C25" s="30" t="n"/>
      <c r="D25" s="31" t="n"/>
      <c r="E25" s="30" t="n"/>
      <c r="F25" s="32">
        <f>IF(AND(ISNUMBER(D25),ISNUMBER(E25)),D25*E25,"")</f>
        <v/>
      </c>
      <c r="G25" s="31" t="n"/>
      <c r="H25" s="32">
        <f>IF(C25="SELL",F25-SUMIFS($F$2:$F$1000,$B$2:$B$1000,B25,$C$2:$C$1000,"&lt;&gt;SELL",$A$2:$A$1000,"&gt;"&amp;_xlfn.MAXIFS($A$2:$A$1000,$B$2:$B$1000,B25,$C$2:$C$1000,"SELL",$A$2:$A$1000,"&lt;"&amp;A25),$A$2:$A$1000,"&lt;="&amp;A25),"")</f>
        <v/>
      </c>
    </row>
    <row r="26">
      <c r="A26" s="29" t="n"/>
      <c r="B26" s="30" t="n"/>
      <c r="C26" s="30" t="n"/>
      <c r="D26" s="31" t="n"/>
      <c r="E26" s="30" t="n"/>
      <c r="F26" s="32">
        <f>IF(AND(ISNUMBER(D26),ISNUMBER(E26)),D26*E26,"")</f>
        <v/>
      </c>
      <c r="G26" s="31" t="n"/>
      <c r="H26" s="32">
        <f>IF(C26="SELL",F26-SUMIFS($F$2:$F$1000,$B$2:$B$1000,B26,$C$2:$C$1000,"&lt;&gt;SELL",$A$2:$A$1000,"&gt;"&amp;_xlfn.MAXIFS($A$2:$A$1000,$B$2:$B$1000,B26,$C$2:$C$1000,"SELL",$A$2:$A$1000,"&lt;"&amp;A26),$A$2:$A$1000,"&lt;="&amp;A26),"")</f>
        <v/>
      </c>
    </row>
    <row r="27">
      <c r="A27" s="29" t="n"/>
      <c r="B27" s="30" t="n"/>
      <c r="C27" s="30" t="n"/>
      <c r="D27" s="31" t="n"/>
      <c r="E27" s="30" t="n"/>
      <c r="F27" s="32">
        <f>IF(AND(ISNUMBER(D27),ISNUMBER(E27)),D27*E27,"")</f>
        <v/>
      </c>
      <c r="G27" s="31" t="n"/>
      <c r="H27" s="32">
        <f>IF(C27="SELL",F27-SUMIFS($F$2:$F$1000,$B$2:$B$1000,B27,$C$2:$C$1000,"&lt;&gt;SELL",$A$2:$A$1000,"&gt;"&amp;_xlfn.MAXIFS($A$2:$A$1000,$B$2:$B$1000,B27,$C$2:$C$1000,"SELL",$A$2:$A$1000,"&lt;"&amp;A27),$A$2:$A$1000,"&lt;="&amp;A27),"")</f>
        <v/>
      </c>
    </row>
    <row r="28">
      <c r="A28" s="29" t="n"/>
      <c r="B28" s="30" t="n"/>
      <c r="C28" s="30" t="n"/>
      <c r="D28" s="31" t="n"/>
      <c r="E28" s="30" t="n"/>
      <c r="F28" s="32">
        <f>IF(AND(ISNUMBER(D28),ISNUMBER(E28)),D28*E28,"")</f>
        <v/>
      </c>
      <c r="G28" s="31" t="n"/>
      <c r="H28" s="32">
        <f>IF(C28="SELL",F28-SUMIFS($F$2:$F$1000,$B$2:$B$1000,B28,$C$2:$C$1000,"&lt;&gt;SELL",$A$2:$A$1000,"&gt;"&amp;_xlfn.MAXIFS($A$2:$A$1000,$B$2:$B$1000,B28,$C$2:$C$1000,"SELL",$A$2:$A$1000,"&lt;"&amp;A28),$A$2:$A$1000,"&lt;="&amp;A28),"")</f>
        <v/>
      </c>
    </row>
    <row r="29">
      <c r="A29" s="29" t="n"/>
      <c r="B29" s="30" t="n"/>
      <c r="C29" s="30" t="n"/>
      <c r="D29" s="31" t="n"/>
      <c r="E29" s="30" t="n"/>
      <c r="F29" s="32">
        <f>IF(AND(ISNUMBER(D29),ISNUMBER(E29)),D29*E29,"")</f>
        <v/>
      </c>
      <c r="G29" s="31" t="n"/>
      <c r="H29" s="32">
        <f>IF(C29="SELL",F29-SUMIFS($F$2:$F$1000,$B$2:$B$1000,B29,$C$2:$C$1000,"&lt;&gt;SELL",$A$2:$A$1000,"&gt;"&amp;_xlfn.MAXIFS($A$2:$A$1000,$B$2:$B$1000,B29,$C$2:$C$1000,"SELL",$A$2:$A$1000,"&lt;"&amp;A29),$A$2:$A$1000,"&lt;="&amp;A29),"")</f>
        <v/>
      </c>
    </row>
    <row r="30">
      <c r="A30" s="29" t="n"/>
      <c r="B30" s="30" t="n"/>
      <c r="C30" s="30" t="n"/>
      <c r="D30" s="31" t="n"/>
      <c r="E30" s="30" t="n"/>
      <c r="F30" s="32">
        <f>IF(AND(ISNUMBER(D30),ISNUMBER(E30)),D30*E30,"")</f>
        <v/>
      </c>
      <c r="G30" s="31" t="n"/>
      <c r="H30" s="32">
        <f>IF(C30="SELL",F30-SUMIFS($F$2:$F$1000,$B$2:$B$1000,B30,$C$2:$C$1000,"&lt;&gt;SELL",$A$2:$A$1000,"&gt;"&amp;_xlfn.MAXIFS($A$2:$A$1000,$B$2:$B$1000,B30,$C$2:$C$1000,"SELL",$A$2:$A$1000,"&lt;"&amp;A30),$A$2:$A$1000,"&lt;="&amp;A30),"")</f>
        <v/>
      </c>
    </row>
    <row r="31">
      <c r="A31" s="29" t="n"/>
      <c r="B31" s="30" t="n"/>
      <c r="C31" s="30" t="n"/>
      <c r="D31" s="31" t="n"/>
      <c r="E31" s="30" t="n"/>
      <c r="F31" s="32">
        <f>IF(AND(ISNUMBER(D31),ISNUMBER(E31)),D31*E31,"")</f>
        <v/>
      </c>
      <c r="G31" s="31" t="n"/>
      <c r="H31" s="32">
        <f>IF(C31="SELL",F31-SUMIFS($F$2:$F$1000,$B$2:$B$1000,B31,$C$2:$C$1000,"&lt;&gt;SELL",$A$2:$A$1000,"&gt;"&amp;_xlfn.MAXIFS($A$2:$A$1000,$B$2:$B$1000,B31,$C$2:$C$1000,"SELL",$A$2:$A$1000,"&lt;"&amp;A31),$A$2:$A$1000,"&lt;="&amp;A31),"")</f>
        <v/>
      </c>
    </row>
    <row r="32">
      <c r="A32" s="29" t="n"/>
      <c r="B32" s="30" t="n"/>
      <c r="C32" s="30" t="n"/>
      <c r="D32" s="31" t="n"/>
      <c r="E32" s="30" t="n"/>
      <c r="F32" s="32">
        <f>IF(AND(ISNUMBER(D32),ISNUMBER(E32)),D32*E32,"")</f>
        <v/>
      </c>
      <c r="G32" s="31" t="n"/>
      <c r="H32" s="32">
        <f>IF(C32="SELL",F32-SUMIFS($F$2:$F$1000,$B$2:$B$1000,B32,$C$2:$C$1000,"&lt;&gt;SELL",$A$2:$A$1000,"&gt;"&amp;_xlfn.MAXIFS($A$2:$A$1000,$B$2:$B$1000,B32,$C$2:$C$1000,"SELL",$A$2:$A$1000,"&lt;"&amp;A32),$A$2:$A$1000,"&lt;="&amp;A32),"")</f>
        <v/>
      </c>
    </row>
    <row r="33">
      <c r="A33" s="29" t="n"/>
      <c r="B33" s="30" t="n"/>
      <c r="C33" s="30" t="n"/>
      <c r="D33" s="31" t="n"/>
      <c r="E33" s="30" t="n"/>
      <c r="F33" s="32">
        <f>IF(AND(ISNUMBER(D33),ISNUMBER(E33)),D33*E33,"")</f>
        <v/>
      </c>
      <c r="G33" s="31" t="n"/>
      <c r="H33" s="32">
        <f>IF(C33="SELL",F33-SUMIFS($F$2:$F$1000,$B$2:$B$1000,B33,$C$2:$C$1000,"&lt;&gt;SELL",$A$2:$A$1000,"&gt;"&amp;_xlfn.MAXIFS($A$2:$A$1000,$B$2:$B$1000,B33,$C$2:$C$1000,"SELL",$A$2:$A$1000,"&lt;"&amp;A33),$A$2:$A$1000,"&lt;="&amp;A33),"")</f>
        <v/>
      </c>
    </row>
    <row r="34">
      <c r="A34" s="29" t="n"/>
      <c r="B34" s="30" t="n"/>
      <c r="C34" s="30" t="n"/>
      <c r="D34" s="31" t="n"/>
      <c r="E34" s="30" t="n"/>
      <c r="F34" s="32">
        <f>IF(AND(ISNUMBER(D34),ISNUMBER(E34)),D34*E34,"")</f>
        <v/>
      </c>
      <c r="G34" s="31" t="n"/>
      <c r="H34" s="32">
        <f>IF(C34="SELL",F34-SUMIFS($F$2:$F$1000,$B$2:$B$1000,B34,$C$2:$C$1000,"&lt;&gt;SELL",$A$2:$A$1000,"&gt;"&amp;_xlfn.MAXIFS($A$2:$A$1000,$B$2:$B$1000,B34,$C$2:$C$1000,"SELL",$A$2:$A$1000,"&lt;"&amp;A34),$A$2:$A$1000,"&lt;="&amp;A34),"")</f>
        <v/>
      </c>
    </row>
    <row r="35">
      <c r="A35" s="29" t="n"/>
      <c r="B35" s="30" t="n"/>
      <c r="C35" s="30" t="n"/>
      <c r="D35" s="31" t="n"/>
      <c r="E35" s="30" t="n"/>
      <c r="F35" s="32">
        <f>IF(AND(ISNUMBER(D35),ISNUMBER(E35)),D35*E35,"")</f>
        <v/>
      </c>
      <c r="G35" s="31" t="n"/>
      <c r="H35" s="32">
        <f>IF(C35="SELL",F35-SUMIFS($F$2:$F$1000,$B$2:$B$1000,B35,$C$2:$C$1000,"&lt;&gt;SELL",$A$2:$A$1000,"&gt;"&amp;_xlfn.MAXIFS($A$2:$A$1000,$B$2:$B$1000,B35,$C$2:$C$1000,"SELL",$A$2:$A$1000,"&lt;"&amp;A35),$A$2:$A$1000,"&lt;="&amp;A35),"")</f>
        <v/>
      </c>
    </row>
    <row r="36">
      <c r="A36" s="29" t="n"/>
      <c r="B36" s="30" t="n"/>
      <c r="C36" s="30" t="n"/>
      <c r="D36" s="31" t="n"/>
      <c r="E36" s="30" t="n"/>
      <c r="F36" s="32">
        <f>IF(AND(ISNUMBER(D36),ISNUMBER(E36)),D36*E36,"")</f>
        <v/>
      </c>
      <c r="G36" s="31" t="n"/>
      <c r="H36" s="32">
        <f>IF(C36="SELL",F36-SUMIFS($F$2:$F$1000,$B$2:$B$1000,B36,$C$2:$C$1000,"&lt;&gt;SELL",$A$2:$A$1000,"&gt;"&amp;_xlfn.MAXIFS($A$2:$A$1000,$B$2:$B$1000,B36,$C$2:$C$1000,"SELL",$A$2:$A$1000,"&lt;"&amp;A36),$A$2:$A$1000,"&lt;="&amp;A36),"")</f>
        <v/>
      </c>
    </row>
    <row r="37">
      <c r="A37" s="29" t="n"/>
      <c r="B37" s="30" t="n"/>
      <c r="C37" s="30" t="n"/>
      <c r="D37" s="31" t="n"/>
      <c r="E37" s="30" t="n"/>
      <c r="F37" s="32">
        <f>IF(AND(ISNUMBER(D37),ISNUMBER(E37)),D37*E37,"")</f>
        <v/>
      </c>
      <c r="G37" s="31" t="n"/>
      <c r="H37" s="32">
        <f>IF(C37="SELL",F37-SUMIFS($F$2:$F$1000,$B$2:$B$1000,B37,$C$2:$C$1000,"&lt;&gt;SELL",$A$2:$A$1000,"&gt;"&amp;_xlfn.MAXIFS($A$2:$A$1000,$B$2:$B$1000,B37,$C$2:$C$1000,"SELL",$A$2:$A$1000,"&lt;"&amp;A37),$A$2:$A$1000,"&lt;="&amp;A37),"")</f>
        <v/>
      </c>
    </row>
    <row r="38">
      <c r="A38" s="29" t="n"/>
      <c r="B38" s="30" t="n"/>
      <c r="C38" s="30" t="n"/>
      <c r="D38" s="31" t="n"/>
      <c r="E38" s="30" t="n"/>
      <c r="F38" s="32">
        <f>IF(AND(ISNUMBER(D38),ISNUMBER(E38)),D38*E38,"")</f>
        <v/>
      </c>
      <c r="G38" s="31" t="n"/>
      <c r="H38" s="32">
        <f>IF(C38="SELL",F38-SUMIFS($F$2:$F$1000,$B$2:$B$1000,B38,$C$2:$C$1000,"&lt;&gt;SELL",$A$2:$A$1000,"&gt;"&amp;_xlfn.MAXIFS($A$2:$A$1000,$B$2:$B$1000,B38,$C$2:$C$1000,"SELL",$A$2:$A$1000,"&lt;"&amp;A38),$A$2:$A$1000,"&lt;="&amp;A38),"")</f>
        <v/>
      </c>
    </row>
    <row r="39">
      <c r="A39" s="29" t="n"/>
      <c r="B39" s="30" t="n"/>
      <c r="C39" s="30" t="n"/>
      <c r="D39" s="31" t="n"/>
      <c r="E39" s="30" t="n"/>
      <c r="F39" s="32">
        <f>IF(AND(ISNUMBER(D39),ISNUMBER(E39)),D39*E39,"")</f>
        <v/>
      </c>
      <c r="G39" s="31" t="n"/>
      <c r="H39" s="32">
        <f>IF(C39="SELL",F39-SUMIFS($F$2:$F$1000,$B$2:$B$1000,B39,$C$2:$C$1000,"&lt;&gt;SELL",$A$2:$A$1000,"&gt;"&amp;_xlfn.MAXIFS($A$2:$A$1000,$B$2:$B$1000,B39,$C$2:$C$1000,"SELL",$A$2:$A$1000,"&lt;"&amp;A39),$A$2:$A$1000,"&lt;="&amp;A39),"")</f>
        <v/>
      </c>
    </row>
    <row r="40">
      <c r="A40" s="29" t="n"/>
      <c r="B40" s="30" t="n"/>
      <c r="C40" s="30" t="n"/>
      <c r="D40" s="31" t="n"/>
      <c r="E40" s="30" t="n"/>
      <c r="F40" s="32">
        <f>IF(AND(ISNUMBER(D40),ISNUMBER(E40)),D40*E40,"")</f>
        <v/>
      </c>
      <c r="G40" s="31" t="n"/>
      <c r="H40" s="32">
        <f>IF(C40="SELL",F40-SUMIFS($F$2:$F$1000,$B$2:$B$1000,B40,$C$2:$C$1000,"&lt;&gt;SELL",$A$2:$A$1000,"&gt;"&amp;_xlfn.MAXIFS($A$2:$A$1000,$B$2:$B$1000,B40,$C$2:$C$1000,"SELL",$A$2:$A$1000,"&lt;"&amp;A40),$A$2:$A$1000,"&lt;="&amp;A40),"")</f>
        <v/>
      </c>
    </row>
    <row r="41">
      <c r="A41" s="29" t="n"/>
      <c r="B41" s="30" t="n"/>
      <c r="C41" s="30" t="n"/>
      <c r="D41" s="31" t="n"/>
      <c r="E41" s="30" t="n"/>
      <c r="F41" s="32">
        <f>IF(AND(ISNUMBER(D41),ISNUMBER(E41)),D41*E41,"")</f>
        <v/>
      </c>
      <c r="G41" s="31" t="n"/>
      <c r="H41" s="32">
        <f>IF(C41="SELL",F41-SUMIFS($F$2:$F$1000,$B$2:$B$1000,B41,$C$2:$C$1000,"&lt;&gt;SELL",$A$2:$A$1000,"&gt;"&amp;_xlfn.MAXIFS($A$2:$A$1000,$B$2:$B$1000,B41,$C$2:$C$1000,"SELL",$A$2:$A$1000,"&lt;"&amp;A41),$A$2:$A$1000,"&lt;="&amp;A41),"")</f>
        <v/>
      </c>
    </row>
    <row r="42">
      <c r="A42" s="29" t="n"/>
      <c r="B42" s="30" t="n"/>
      <c r="C42" s="30" t="n"/>
      <c r="D42" s="31" t="n"/>
      <c r="E42" s="30" t="n"/>
      <c r="F42" s="32">
        <f>IF(AND(ISNUMBER(D42),ISNUMBER(E42)),D42*E42,"")</f>
        <v/>
      </c>
      <c r="G42" s="31" t="n"/>
      <c r="H42" s="32">
        <f>IF(C42="SELL",F42-SUMIFS($F$2:$F$1000,$B$2:$B$1000,B42,$C$2:$C$1000,"&lt;&gt;SELL",$A$2:$A$1000,"&gt;"&amp;_xlfn.MAXIFS($A$2:$A$1000,$B$2:$B$1000,B42,$C$2:$C$1000,"SELL",$A$2:$A$1000,"&lt;"&amp;A42),$A$2:$A$1000,"&lt;="&amp;A42),"")</f>
        <v/>
      </c>
    </row>
    <row r="43">
      <c r="A43" s="29" t="n"/>
      <c r="B43" s="30" t="n"/>
      <c r="C43" s="30" t="n"/>
      <c r="D43" s="31" t="n"/>
      <c r="E43" s="30" t="n"/>
      <c r="F43" s="32">
        <f>IF(AND(ISNUMBER(D43),ISNUMBER(E43)),D43*E43,"")</f>
        <v/>
      </c>
      <c r="G43" s="31" t="n"/>
      <c r="H43" s="32">
        <f>IF(C43="SELL",F43-SUMIFS($F$2:$F$1000,$B$2:$B$1000,B43,$C$2:$C$1000,"&lt;&gt;SELL",$A$2:$A$1000,"&gt;"&amp;_xlfn.MAXIFS($A$2:$A$1000,$B$2:$B$1000,B43,$C$2:$C$1000,"SELL",$A$2:$A$1000,"&lt;"&amp;A43),$A$2:$A$1000,"&lt;="&amp;A43),"")</f>
        <v/>
      </c>
    </row>
    <row r="44">
      <c r="A44" s="29" t="n"/>
      <c r="B44" s="30" t="n"/>
      <c r="C44" s="30" t="n"/>
      <c r="D44" s="31" t="n"/>
      <c r="E44" s="30" t="n"/>
      <c r="F44" s="32">
        <f>IF(AND(ISNUMBER(D44),ISNUMBER(E44)),D44*E44,"")</f>
        <v/>
      </c>
      <c r="G44" s="31" t="n"/>
      <c r="H44" s="32">
        <f>IF(C44="SELL",F44-SUMIFS($F$2:$F$1000,$B$2:$B$1000,B44,$C$2:$C$1000,"&lt;&gt;SELL",$A$2:$A$1000,"&gt;"&amp;_xlfn.MAXIFS($A$2:$A$1000,$B$2:$B$1000,B44,$C$2:$C$1000,"SELL",$A$2:$A$1000,"&lt;"&amp;A44),$A$2:$A$1000,"&lt;="&amp;A44),"")</f>
        <v/>
      </c>
    </row>
    <row r="45">
      <c r="A45" s="29" t="n"/>
      <c r="B45" s="30" t="n"/>
      <c r="C45" s="30" t="n"/>
      <c r="D45" s="31" t="n"/>
      <c r="E45" s="30" t="n"/>
      <c r="F45" s="32">
        <f>IF(AND(ISNUMBER(D45),ISNUMBER(E45)),D45*E45,"")</f>
        <v/>
      </c>
      <c r="G45" s="31" t="n"/>
      <c r="H45" s="32">
        <f>IF(C45="SELL",F45-SUMIFS($F$2:$F$1000,$B$2:$B$1000,B45,$C$2:$C$1000,"&lt;&gt;SELL",$A$2:$A$1000,"&gt;"&amp;_xlfn.MAXIFS($A$2:$A$1000,$B$2:$B$1000,B45,$C$2:$C$1000,"SELL",$A$2:$A$1000,"&lt;"&amp;A45),$A$2:$A$1000,"&lt;="&amp;A45),"")</f>
        <v/>
      </c>
    </row>
    <row r="46">
      <c r="A46" s="29" t="n"/>
      <c r="B46" s="30" t="n"/>
      <c r="C46" s="30" t="n"/>
      <c r="D46" s="31" t="n"/>
      <c r="E46" s="30" t="n"/>
      <c r="F46" s="32">
        <f>IF(AND(ISNUMBER(D46),ISNUMBER(E46)),D46*E46,"")</f>
        <v/>
      </c>
      <c r="G46" s="31" t="n"/>
      <c r="H46" s="32">
        <f>IF(C46="SELL",F46-SUMIFS($F$2:$F$1000,$B$2:$B$1000,B46,$C$2:$C$1000,"&lt;&gt;SELL",$A$2:$A$1000,"&gt;"&amp;_xlfn.MAXIFS($A$2:$A$1000,$B$2:$B$1000,B46,$C$2:$C$1000,"SELL",$A$2:$A$1000,"&lt;"&amp;A46),$A$2:$A$1000,"&lt;="&amp;A46),"")</f>
        <v/>
      </c>
    </row>
    <row r="47">
      <c r="A47" s="29" t="n"/>
      <c r="B47" s="30" t="n"/>
      <c r="C47" s="30" t="n"/>
      <c r="D47" s="31" t="n"/>
      <c r="E47" s="30" t="n"/>
      <c r="F47" s="32">
        <f>IF(AND(ISNUMBER(D47),ISNUMBER(E47)),D47*E47,"")</f>
        <v/>
      </c>
      <c r="G47" s="31" t="n"/>
      <c r="H47" s="32">
        <f>IF(C47="SELL",F47-SUMIFS($F$2:$F$1000,$B$2:$B$1000,B47,$C$2:$C$1000,"&lt;&gt;SELL",$A$2:$A$1000,"&gt;"&amp;_xlfn.MAXIFS($A$2:$A$1000,$B$2:$B$1000,B47,$C$2:$C$1000,"SELL",$A$2:$A$1000,"&lt;"&amp;A47),$A$2:$A$1000,"&lt;="&amp;A47),"")</f>
        <v/>
      </c>
    </row>
    <row r="48">
      <c r="A48" s="29" t="n"/>
      <c r="B48" s="30" t="n"/>
      <c r="C48" s="30" t="n"/>
      <c r="D48" s="31" t="n"/>
      <c r="E48" s="30" t="n"/>
      <c r="F48" s="32">
        <f>IF(AND(ISNUMBER(D48),ISNUMBER(E48)),D48*E48,"")</f>
        <v/>
      </c>
      <c r="G48" s="31" t="n"/>
      <c r="H48" s="32">
        <f>IF(C48="SELL",F48-SUMIFS($F$2:$F$1000,$B$2:$B$1000,B48,$C$2:$C$1000,"&lt;&gt;SELL",$A$2:$A$1000,"&gt;"&amp;_xlfn.MAXIFS($A$2:$A$1000,$B$2:$B$1000,B48,$C$2:$C$1000,"SELL",$A$2:$A$1000,"&lt;"&amp;A48),$A$2:$A$1000,"&lt;="&amp;A48),"")</f>
        <v/>
      </c>
    </row>
    <row r="49">
      <c r="A49" s="29" t="n"/>
      <c r="B49" s="30" t="n"/>
      <c r="C49" s="30" t="n"/>
      <c r="D49" s="31" t="n"/>
      <c r="E49" s="30" t="n"/>
      <c r="F49" s="32">
        <f>IF(AND(ISNUMBER(D49),ISNUMBER(E49)),D49*E49,"")</f>
        <v/>
      </c>
      <c r="G49" s="31" t="n"/>
      <c r="H49" s="32">
        <f>IF(C49="SELL",F49-SUMIFS($F$2:$F$1000,$B$2:$B$1000,B49,$C$2:$C$1000,"&lt;&gt;SELL",$A$2:$A$1000,"&gt;"&amp;_xlfn.MAXIFS($A$2:$A$1000,$B$2:$B$1000,B49,$C$2:$C$1000,"SELL",$A$2:$A$1000,"&lt;"&amp;A49),$A$2:$A$1000,"&lt;="&amp;A49),"")</f>
        <v/>
      </c>
    </row>
    <row r="50">
      <c r="A50" s="29" t="n"/>
      <c r="B50" s="30" t="n"/>
      <c r="C50" s="30" t="n"/>
      <c r="D50" s="31" t="n"/>
      <c r="E50" s="30" t="n"/>
      <c r="F50" s="32">
        <f>IF(AND(ISNUMBER(D50),ISNUMBER(E50)),D50*E50,"")</f>
        <v/>
      </c>
      <c r="G50" s="31" t="n"/>
      <c r="H50" s="32">
        <f>IF(C50="SELL",F50-SUMIFS($F$2:$F$1000,$B$2:$B$1000,B50,$C$2:$C$1000,"&lt;&gt;SELL",$A$2:$A$1000,"&gt;"&amp;_xlfn.MAXIFS($A$2:$A$1000,$B$2:$B$1000,B50,$C$2:$C$1000,"SELL",$A$2:$A$1000,"&lt;"&amp;A50),$A$2:$A$1000,"&lt;="&amp;A50),"")</f>
        <v/>
      </c>
    </row>
    <row r="51">
      <c r="A51" s="29" t="n"/>
      <c r="B51" s="30" t="n"/>
      <c r="C51" s="30" t="n"/>
      <c r="D51" s="31" t="n"/>
      <c r="E51" s="30" t="n"/>
      <c r="F51" s="32">
        <f>IF(AND(ISNUMBER(D51),ISNUMBER(E51)),D51*E51,"")</f>
        <v/>
      </c>
      <c r="G51" s="31" t="n"/>
      <c r="H51" s="32">
        <f>IF(C51="SELL",F51-SUMIFS($F$2:$F$1000,$B$2:$B$1000,B51,$C$2:$C$1000,"&lt;&gt;SELL",$A$2:$A$1000,"&gt;"&amp;_xlfn.MAXIFS($A$2:$A$1000,$B$2:$B$1000,B51,$C$2:$C$1000,"SELL",$A$2:$A$1000,"&lt;"&amp;A51),$A$2:$A$1000,"&lt;="&amp;A51),"")</f>
        <v/>
      </c>
    </row>
    <row r="52">
      <c r="A52" s="29" t="n"/>
      <c r="B52" s="30" t="n"/>
      <c r="C52" s="30" t="n"/>
      <c r="D52" s="31" t="n"/>
      <c r="E52" s="30" t="n"/>
      <c r="F52" s="32">
        <f>IF(AND(ISNUMBER(D52),ISNUMBER(E52)),D52*E52,"")</f>
        <v/>
      </c>
      <c r="G52" s="31" t="n"/>
      <c r="H52" s="32">
        <f>IF(C52="SELL",F52-SUMIFS($F$2:$F$1000,$B$2:$B$1000,B52,$C$2:$C$1000,"&lt;&gt;SELL",$A$2:$A$1000,"&gt;"&amp;_xlfn.MAXIFS($A$2:$A$1000,$B$2:$B$1000,B52,$C$2:$C$1000,"SELL",$A$2:$A$1000,"&lt;"&amp;A52),$A$2:$A$1000,"&lt;="&amp;A52),"")</f>
        <v/>
      </c>
    </row>
    <row r="53">
      <c r="A53" s="29" t="n"/>
      <c r="B53" s="30" t="n"/>
      <c r="C53" s="30" t="n"/>
      <c r="D53" s="31" t="n"/>
      <c r="E53" s="30" t="n"/>
      <c r="F53" s="32">
        <f>IF(AND(ISNUMBER(D53),ISNUMBER(E53)),D53*E53,"")</f>
        <v/>
      </c>
      <c r="G53" s="31" t="n"/>
      <c r="H53" s="32">
        <f>IF(C53="SELL",F53-SUMIFS($F$2:$F$1000,$B$2:$B$1000,B53,$C$2:$C$1000,"&lt;&gt;SELL",$A$2:$A$1000,"&gt;"&amp;_xlfn.MAXIFS($A$2:$A$1000,$B$2:$B$1000,B53,$C$2:$C$1000,"SELL",$A$2:$A$1000,"&lt;"&amp;A53),$A$2:$A$1000,"&lt;="&amp;A53),"")</f>
        <v/>
      </c>
    </row>
    <row r="54">
      <c r="A54" s="29" t="n"/>
      <c r="B54" s="30" t="n"/>
      <c r="C54" s="30" t="n"/>
      <c r="D54" s="31" t="n"/>
      <c r="E54" s="30" t="n"/>
      <c r="F54" s="32">
        <f>IF(AND(ISNUMBER(D54),ISNUMBER(E54)),D54*E54,"")</f>
        <v/>
      </c>
      <c r="G54" s="31" t="n"/>
      <c r="H54" s="32">
        <f>IF(C54="SELL",F54-SUMIFS($F$2:$F$1000,$B$2:$B$1000,B54,$C$2:$C$1000,"&lt;&gt;SELL",$A$2:$A$1000,"&gt;"&amp;_xlfn.MAXIFS($A$2:$A$1000,$B$2:$B$1000,B54,$C$2:$C$1000,"SELL",$A$2:$A$1000,"&lt;"&amp;A54),$A$2:$A$1000,"&lt;="&amp;A54),"")</f>
        <v/>
      </c>
    </row>
    <row r="55">
      <c r="A55" s="29" t="n"/>
      <c r="B55" s="30" t="n"/>
      <c r="C55" s="30" t="n"/>
      <c r="D55" s="31" t="n"/>
      <c r="E55" s="30" t="n"/>
      <c r="F55" s="32">
        <f>IF(AND(ISNUMBER(D55),ISNUMBER(E55)),D55*E55,"")</f>
        <v/>
      </c>
      <c r="G55" s="31" t="n"/>
      <c r="H55" s="32">
        <f>IF(C55="SELL",F55-SUMIFS($F$2:$F$1000,$B$2:$B$1000,B55,$C$2:$C$1000,"&lt;&gt;SELL",$A$2:$A$1000,"&gt;"&amp;_xlfn.MAXIFS($A$2:$A$1000,$B$2:$B$1000,B55,$C$2:$C$1000,"SELL",$A$2:$A$1000,"&lt;"&amp;A55),$A$2:$A$1000,"&lt;="&amp;A55),"")</f>
        <v/>
      </c>
    </row>
    <row r="56">
      <c r="A56" s="29" t="n"/>
      <c r="B56" s="30" t="n"/>
      <c r="C56" s="30" t="n"/>
      <c r="D56" s="31" t="n"/>
      <c r="E56" s="30" t="n"/>
      <c r="F56" s="32">
        <f>IF(AND(ISNUMBER(D56),ISNUMBER(E56)),D56*E56,"")</f>
        <v/>
      </c>
      <c r="G56" s="31" t="n"/>
      <c r="H56" s="32">
        <f>IF(C56="SELL",F56-SUMIFS($F$2:$F$1000,$B$2:$B$1000,B56,$C$2:$C$1000,"&lt;&gt;SELL",$A$2:$A$1000,"&gt;"&amp;_xlfn.MAXIFS($A$2:$A$1000,$B$2:$B$1000,B56,$C$2:$C$1000,"SELL",$A$2:$A$1000,"&lt;"&amp;A56),$A$2:$A$1000,"&lt;="&amp;A56),"")</f>
        <v/>
      </c>
    </row>
    <row r="57">
      <c r="A57" s="29" t="n"/>
      <c r="B57" s="30" t="n"/>
      <c r="C57" s="30" t="n"/>
      <c r="D57" s="31" t="n"/>
      <c r="E57" s="30" t="n"/>
      <c r="F57" s="32">
        <f>IF(AND(ISNUMBER(D57),ISNUMBER(E57)),D57*E57,"")</f>
        <v/>
      </c>
      <c r="G57" s="31" t="n"/>
      <c r="H57" s="32">
        <f>IF(C57="SELL",F57-SUMIFS($F$2:$F$1000,$B$2:$B$1000,B57,$C$2:$C$1000,"&lt;&gt;SELL",$A$2:$A$1000,"&gt;"&amp;_xlfn.MAXIFS($A$2:$A$1000,$B$2:$B$1000,B57,$C$2:$C$1000,"SELL",$A$2:$A$1000,"&lt;"&amp;A57),$A$2:$A$1000,"&lt;="&amp;A57),"")</f>
        <v/>
      </c>
    </row>
    <row r="58">
      <c r="A58" s="29" t="n"/>
      <c r="B58" s="30" t="n"/>
      <c r="C58" s="30" t="n"/>
      <c r="D58" s="31" t="n"/>
      <c r="E58" s="30" t="n"/>
      <c r="F58" s="32">
        <f>IF(AND(ISNUMBER(D58),ISNUMBER(E58)),D58*E58,"")</f>
        <v/>
      </c>
      <c r="G58" s="31" t="n"/>
      <c r="H58" s="32">
        <f>IF(C58="SELL",F58-SUMIFS($F$2:$F$1000,$B$2:$B$1000,B58,$C$2:$C$1000,"&lt;&gt;SELL",$A$2:$A$1000,"&gt;"&amp;_xlfn.MAXIFS($A$2:$A$1000,$B$2:$B$1000,B58,$C$2:$C$1000,"SELL",$A$2:$A$1000,"&lt;"&amp;A58),$A$2:$A$1000,"&lt;="&amp;A58),"")</f>
        <v/>
      </c>
    </row>
    <row r="59">
      <c r="A59" s="29" t="n"/>
      <c r="B59" s="30" t="n"/>
      <c r="C59" s="30" t="n"/>
      <c r="D59" s="31" t="n"/>
      <c r="E59" s="30" t="n"/>
      <c r="F59" s="32">
        <f>IF(AND(ISNUMBER(D59),ISNUMBER(E59)),D59*E59,"")</f>
        <v/>
      </c>
      <c r="G59" s="31" t="n"/>
      <c r="H59" s="32">
        <f>IF(C59="SELL",F59-SUMIFS($F$2:$F$1000,$B$2:$B$1000,B59,$C$2:$C$1000,"&lt;&gt;SELL",$A$2:$A$1000,"&gt;"&amp;_xlfn.MAXIFS($A$2:$A$1000,$B$2:$B$1000,B59,$C$2:$C$1000,"SELL",$A$2:$A$1000,"&lt;"&amp;A59),$A$2:$A$1000,"&lt;="&amp;A59),"")</f>
        <v/>
      </c>
    </row>
    <row r="60">
      <c r="A60" s="29" t="n"/>
      <c r="B60" s="30" t="n"/>
      <c r="C60" s="30" t="n"/>
      <c r="D60" s="31" t="n"/>
      <c r="E60" s="30" t="n"/>
      <c r="F60" s="32">
        <f>IF(AND(ISNUMBER(D60),ISNUMBER(E60)),D60*E60,"")</f>
        <v/>
      </c>
      <c r="G60" s="31" t="n"/>
      <c r="H60" s="32">
        <f>IF(C60="SELL",F60-SUMIFS($F$2:$F$1000,$B$2:$B$1000,B60,$C$2:$C$1000,"&lt;&gt;SELL",$A$2:$A$1000,"&gt;"&amp;_xlfn.MAXIFS($A$2:$A$1000,$B$2:$B$1000,B60,$C$2:$C$1000,"SELL",$A$2:$A$1000,"&lt;"&amp;A60),$A$2:$A$1000,"&lt;="&amp;A60),"")</f>
        <v/>
      </c>
    </row>
    <row r="61">
      <c r="A61" s="29" t="n"/>
      <c r="B61" s="30" t="n"/>
      <c r="C61" s="30" t="n"/>
      <c r="D61" s="31" t="n"/>
      <c r="E61" s="30" t="n"/>
      <c r="F61" s="32">
        <f>IF(AND(ISNUMBER(D61),ISNUMBER(E61)),D61*E61,"")</f>
        <v/>
      </c>
      <c r="G61" s="31" t="n"/>
      <c r="H61" s="32">
        <f>IF(C61="SELL",F61-SUMIFS($F$2:$F$1000,$B$2:$B$1000,B61,$C$2:$C$1000,"&lt;&gt;SELL",$A$2:$A$1000,"&gt;"&amp;_xlfn.MAXIFS($A$2:$A$1000,$B$2:$B$1000,B61,$C$2:$C$1000,"SELL",$A$2:$A$1000,"&lt;"&amp;A61),$A$2:$A$1000,"&lt;="&amp;A61),"")</f>
        <v/>
      </c>
    </row>
    <row r="62">
      <c r="A62" s="29" t="n"/>
      <c r="B62" s="30" t="n"/>
      <c r="C62" s="30" t="n"/>
      <c r="D62" s="31" t="n"/>
      <c r="E62" s="30" t="n"/>
      <c r="F62" s="32">
        <f>IF(AND(ISNUMBER(D62),ISNUMBER(E62)),D62*E62,"")</f>
        <v/>
      </c>
      <c r="G62" s="31" t="n"/>
      <c r="H62" s="32">
        <f>IF(C62="SELL",F62-SUMIFS($F$2:$F$1000,$B$2:$B$1000,B62,$C$2:$C$1000,"&lt;&gt;SELL",$A$2:$A$1000,"&gt;"&amp;_xlfn.MAXIFS($A$2:$A$1000,$B$2:$B$1000,B62,$C$2:$C$1000,"SELL",$A$2:$A$1000,"&lt;"&amp;A62),$A$2:$A$1000,"&lt;="&amp;A62),"")</f>
        <v/>
      </c>
    </row>
    <row r="63">
      <c r="A63" s="29" t="n"/>
      <c r="B63" s="30" t="n"/>
      <c r="C63" s="30" t="n"/>
      <c r="D63" s="31" t="n"/>
      <c r="E63" s="30" t="n"/>
      <c r="F63" s="32">
        <f>IF(AND(ISNUMBER(D63),ISNUMBER(E63)),D63*E63,"")</f>
        <v/>
      </c>
      <c r="G63" s="31" t="n"/>
      <c r="H63" s="32">
        <f>IF(C63="SELL",F63-SUMIFS($F$2:$F$1000,$B$2:$B$1000,B63,$C$2:$C$1000,"&lt;&gt;SELL",$A$2:$A$1000,"&gt;"&amp;_xlfn.MAXIFS($A$2:$A$1000,$B$2:$B$1000,B63,$C$2:$C$1000,"SELL",$A$2:$A$1000,"&lt;"&amp;A63),$A$2:$A$1000,"&lt;="&amp;A63),"")</f>
        <v/>
      </c>
    </row>
    <row r="64">
      <c r="A64" s="29" t="n"/>
      <c r="B64" s="30" t="n"/>
      <c r="C64" s="30" t="n"/>
      <c r="D64" s="31" t="n"/>
      <c r="E64" s="30" t="n"/>
      <c r="F64" s="32">
        <f>IF(AND(ISNUMBER(D64),ISNUMBER(E64)),D64*E64,"")</f>
        <v/>
      </c>
      <c r="G64" s="31" t="n"/>
      <c r="H64" s="32">
        <f>IF(C64="SELL",F64-SUMIFS($F$2:$F$1000,$B$2:$B$1000,B64,$C$2:$C$1000,"&lt;&gt;SELL",$A$2:$A$1000,"&gt;"&amp;_xlfn.MAXIFS($A$2:$A$1000,$B$2:$B$1000,B64,$C$2:$C$1000,"SELL",$A$2:$A$1000,"&lt;"&amp;A64),$A$2:$A$1000,"&lt;="&amp;A64),"")</f>
        <v/>
      </c>
    </row>
    <row r="65">
      <c r="A65" s="29" t="n"/>
      <c r="B65" s="30" t="n"/>
      <c r="C65" s="30" t="n"/>
      <c r="D65" s="31" t="n"/>
      <c r="E65" s="30" t="n"/>
      <c r="F65" s="32">
        <f>IF(AND(ISNUMBER(D65),ISNUMBER(E65)),D65*E65,"")</f>
        <v/>
      </c>
      <c r="G65" s="31" t="n"/>
      <c r="H65" s="32">
        <f>IF(C65="SELL",F65-SUMIFS($F$2:$F$1000,$B$2:$B$1000,B65,$C$2:$C$1000,"&lt;&gt;SELL",$A$2:$A$1000,"&gt;"&amp;_xlfn.MAXIFS($A$2:$A$1000,$B$2:$B$1000,B65,$C$2:$C$1000,"SELL",$A$2:$A$1000,"&lt;"&amp;A65),$A$2:$A$1000,"&lt;="&amp;A65),"")</f>
        <v/>
      </c>
    </row>
    <row r="66">
      <c r="A66" s="29" t="n"/>
      <c r="B66" s="30" t="n"/>
      <c r="C66" s="30" t="n"/>
      <c r="D66" s="31" t="n"/>
      <c r="E66" s="30" t="n"/>
      <c r="F66" s="32">
        <f>IF(AND(ISNUMBER(D66),ISNUMBER(E66)),D66*E66,"")</f>
        <v/>
      </c>
      <c r="G66" s="31" t="n"/>
      <c r="H66" s="32">
        <f>IF(C66="SELL",F66-SUMIFS($F$2:$F$1000,$B$2:$B$1000,B66,$C$2:$C$1000,"&lt;&gt;SELL",$A$2:$A$1000,"&gt;"&amp;_xlfn.MAXIFS($A$2:$A$1000,$B$2:$B$1000,B66,$C$2:$C$1000,"SELL",$A$2:$A$1000,"&lt;"&amp;A66),$A$2:$A$1000,"&lt;="&amp;A66),"")</f>
        <v/>
      </c>
    </row>
    <row r="67">
      <c r="A67" s="29" t="n"/>
      <c r="B67" s="30" t="n"/>
      <c r="C67" s="30" t="n"/>
      <c r="D67" s="31" t="n"/>
      <c r="E67" s="30" t="n"/>
      <c r="F67" s="32">
        <f>IF(AND(ISNUMBER(D67),ISNUMBER(E67)),D67*E67,"")</f>
        <v/>
      </c>
      <c r="G67" s="31" t="n"/>
      <c r="H67" s="32">
        <f>IF(C67="SELL",F67-SUMIFS($F$2:$F$1000,$B$2:$B$1000,B67,$C$2:$C$1000,"&lt;&gt;SELL",$A$2:$A$1000,"&gt;"&amp;_xlfn.MAXIFS($A$2:$A$1000,$B$2:$B$1000,B67,$C$2:$C$1000,"SELL",$A$2:$A$1000,"&lt;"&amp;A67),$A$2:$A$1000,"&lt;="&amp;A67),"")</f>
        <v/>
      </c>
    </row>
    <row r="68">
      <c r="A68" s="29" t="n"/>
      <c r="B68" s="30" t="n"/>
      <c r="C68" s="30" t="n"/>
      <c r="D68" s="31" t="n"/>
      <c r="E68" s="30" t="n"/>
      <c r="F68" s="32">
        <f>IF(AND(ISNUMBER(D68),ISNUMBER(E68)),D68*E68,"")</f>
        <v/>
      </c>
      <c r="G68" s="31" t="n"/>
      <c r="H68" s="32">
        <f>IF(C68="SELL",F68-SUMIFS($F$2:$F$1000,$B$2:$B$1000,B68,$C$2:$C$1000,"&lt;&gt;SELL",$A$2:$A$1000,"&gt;"&amp;_xlfn.MAXIFS($A$2:$A$1000,$B$2:$B$1000,B68,$C$2:$C$1000,"SELL",$A$2:$A$1000,"&lt;"&amp;A68),$A$2:$A$1000,"&lt;="&amp;A68),"")</f>
        <v/>
      </c>
    </row>
    <row r="69">
      <c r="A69" s="29" t="n"/>
      <c r="B69" s="30" t="n"/>
      <c r="C69" s="30" t="n"/>
      <c r="D69" s="31" t="n"/>
      <c r="E69" s="30" t="n"/>
      <c r="F69" s="32">
        <f>IF(AND(ISNUMBER(D69),ISNUMBER(E69)),D69*E69,"")</f>
        <v/>
      </c>
      <c r="G69" s="31" t="n"/>
      <c r="H69" s="32">
        <f>IF(C69="SELL",F69-SUMIFS($F$2:$F$1000,$B$2:$B$1000,B69,$C$2:$C$1000,"&lt;&gt;SELL",$A$2:$A$1000,"&gt;"&amp;_xlfn.MAXIFS($A$2:$A$1000,$B$2:$B$1000,B69,$C$2:$C$1000,"SELL",$A$2:$A$1000,"&lt;"&amp;A69),$A$2:$A$1000,"&lt;="&amp;A69),"")</f>
        <v/>
      </c>
    </row>
    <row r="70">
      <c r="A70" s="29" t="n"/>
      <c r="B70" s="30" t="n"/>
      <c r="C70" s="30" t="n"/>
      <c r="D70" s="31" t="n"/>
      <c r="E70" s="30" t="n"/>
      <c r="F70" s="32">
        <f>IF(AND(ISNUMBER(D70),ISNUMBER(E70)),D70*E70,"")</f>
        <v/>
      </c>
      <c r="G70" s="31" t="n"/>
      <c r="H70" s="32">
        <f>IF(C70="SELL",F70-SUMIFS($F$2:$F$1000,$B$2:$B$1000,B70,$C$2:$C$1000,"&lt;&gt;SELL",$A$2:$A$1000,"&gt;"&amp;_xlfn.MAXIFS($A$2:$A$1000,$B$2:$B$1000,B70,$C$2:$C$1000,"SELL",$A$2:$A$1000,"&lt;"&amp;A70),$A$2:$A$1000,"&lt;="&amp;A70),"")</f>
        <v/>
      </c>
    </row>
    <row r="71">
      <c r="A71" s="29" t="n"/>
      <c r="B71" s="30" t="n"/>
      <c r="C71" s="30" t="n"/>
      <c r="D71" s="31" t="n"/>
      <c r="E71" s="30" t="n"/>
      <c r="F71" s="32">
        <f>IF(AND(ISNUMBER(D71),ISNUMBER(E71)),D71*E71,"")</f>
        <v/>
      </c>
      <c r="G71" s="31" t="n"/>
      <c r="H71" s="32">
        <f>IF(C71="SELL",F71-SUMIFS($F$2:$F$1000,$B$2:$B$1000,B71,$C$2:$C$1000,"&lt;&gt;SELL",$A$2:$A$1000,"&gt;"&amp;_xlfn.MAXIFS($A$2:$A$1000,$B$2:$B$1000,B71,$C$2:$C$1000,"SELL",$A$2:$A$1000,"&lt;"&amp;A71),$A$2:$A$1000,"&lt;="&amp;A71),"")</f>
        <v/>
      </c>
    </row>
    <row r="72">
      <c r="A72" s="29" t="n"/>
      <c r="B72" s="30" t="n"/>
      <c r="C72" s="30" t="n"/>
      <c r="D72" s="31" t="n"/>
      <c r="E72" s="30" t="n"/>
      <c r="F72" s="32">
        <f>IF(AND(ISNUMBER(D72),ISNUMBER(E72)),D72*E72,"")</f>
        <v/>
      </c>
      <c r="G72" s="31" t="n"/>
      <c r="H72" s="32">
        <f>IF(C72="SELL",F72-SUMIFS($F$2:$F$1000,$B$2:$B$1000,B72,$C$2:$C$1000,"&lt;&gt;SELL",$A$2:$A$1000,"&gt;"&amp;_xlfn.MAXIFS($A$2:$A$1000,$B$2:$B$1000,B72,$C$2:$C$1000,"SELL",$A$2:$A$1000,"&lt;"&amp;A72),$A$2:$A$1000,"&lt;="&amp;A72),"")</f>
        <v/>
      </c>
    </row>
    <row r="73">
      <c r="A73" s="29" t="n"/>
      <c r="B73" s="30" t="n"/>
      <c r="C73" s="30" t="n"/>
      <c r="D73" s="31" t="n"/>
      <c r="E73" s="30" t="n"/>
      <c r="F73" s="32">
        <f>IF(AND(ISNUMBER(D73),ISNUMBER(E73)),D73*E73,"")</f>
        <v/>
      </c>
      <c r="G73" s="31" t="n"/>
      <c r="H73" s="32">
        <f>IF(C73="SELL",F73-SUMIFS($F$2:$F$1000,$B$2:$B$1000,B73,$C$2:$C$1000,"&lt;&gt;SELL",$A$2:$A$1000,"&gt;"&amp;_xlfn.MAXIFS($A$2:$A$1000,$B$2:$B$1000,B73,$C$2:$C$1000,"SELL",$A$2:$A$1000,"&lt;"&amp;A73),$A$2:$A$1000,"&lt;="&amp;A73),"")</f>
        <v/>
      </c>
    </row>
    <row r="74">
      <c r="A74" s="29" t="n"/>
      <c r="B74" s="30" t="n"/>
      <c r="C74" s="30" t="n"/>
      <c r="D74" s="31" t="n"/>
      <c r="E74" s="30" t="n"/>
      <c r="F74" s="32">
        <f>IF(AND(ISNUMBER(D74),ISNUMBER(E74)),D74*E74,"")</f>
        <v/>
      </c>
      <c r="G74" s="31" t="n"/>
      <c r="H74" s="32">
        <f>IF(C74="SELL",F74-SUMIFS($F$2:$F$1000,$B$2:$B$1000,B74,$C$2:$C$1000,"&lt;&gt;SELL",$A$2:$A$1000,"&gt;"&amp;_xlfn.MAXIFS($A$2:$A$1000,$B$2:$B$1000,B74,$C$2:$C$1000,"SELL",$A$2:$A$1000,"&lt;"&amp;A74),$A$2:$A$1000,"&lt;="&amp;A74),"")</f>
        <v/>
      </c>
    </row>
    <row r="75">
      <c r="A75" s="29" t="n"/>
      <c r="B75" s="30" t="n"/>
      <c r="C75" s="30" t="n"/>
      <c r="D75" s="31" t="n"/>
      <c r="E75" s="30" t="n"/>
      <c r="F75" s="32">
        <f>IF(AND(ISNUMBER(D75),ISNUMBER(E75)),D75*E75,"")</f>
        <v/>
      </c>
      <c r="G75" s="31" t="n"/>
      <c r="H75" s="32">
        <f>IF(C75="SELL",F75-SUMIFS($F$2:$F$1000,$B$2:$B$1000,B75,$C$2:$C$1000,"&lt;&gt;SELL",$A$2:$A$1000,"&gt;"&amp;_xlfn.MAXIFS($A$2:$A$1000,$B$2:$B$1000,B75,$C$2:$C$1000,"SELL",$A$2:$A$1000,"&lt;"&amp;A75),$A$2:$A$1000,"&lt;="&amp;A75),"")</f>
        <v/>
      </c>
    </row>
    <row r="76">
      <c r="A76" s="29" t="n"/>
      <c r="B76" s="30" t="n"/>
      <c r="C76" s="30" t="n"/>
      <c r="D76" s="31" t="n"/>
      <c r="E76" s="30" t="n"/>
      <c r="F76" s="32">
        <f>IF(AND(ISNUMBER(D76),ISNUMBER(E76)),D76*E76,"")</f>
        <v/>
      </c>
      <c r="G76" s="31" t="n"/>
      <c r="H76" s="32">
        <f>IF(C76="SELL",F76-SUMIFS($F$2:$F$1000,$B$2:$B$1000,B76,$C$2:$C$1000,"&lt;&gt;SELL",$A$2:$A$1000,"&gt;"&amp;_xlfn.MAXIFS($A$2:$A$1000,$B$2:$B$1000,B76,$C$2:$C$1000,"SELL",$A$2:$A$1000,"&lt;"&amp;A76),$A$2:$A$1000,"&lt;="&amp;A76),"")</f>
        <v/>
      </c>
    </row>
    <row r="77">
      <c r="A77" s="29" t="n"/>
      <c r="B77" s="30" t="n"/>
      <c r="C77" s="30" t="n"/>
      <c r="D77" s="31" t="n"/>
      <c r="E77" s="30" t="n"/>
      <c r="F77" s="32">
        <f>IF(AND(ISNUMBER(D77),ISNUMBER(E77)),D77*E77,"")</f>
        <v/>
      </c>
      <c r="G77" s="31" t="n"/>
      <c r="H77" s="32">
        <f>IF(C77="SELL",F77-SUMIFS($F$2:$F$1000,$B$2:$B$1000,B77,$C$2:$C$1000,"&lt;&gt;SELL",$A$2:$A$1000,"&gt;"&amp;_xlfn.MAXIFS($A$2:$A$1000,$B$2:$B$1000,B77,$C$2:$C$1000,"SELL",$A$2:$A$1000,"&lt;"&amp;A77),$A$2:$A$1000,"&lt;="&amp;A77),"")</f>
        <v/>
      </c>
    </row>
    <row r="78">
      <c r="A78" s="29" t="n"/>
      <c r="B78" s="30" t="n"/>
      <c r="C78" s="30" t="n"/>
      <c r="D78" s="31" t="n"/>
      <c r="E78" s="30" t="n"/>
      <c r="F78" s="32">
        <f>IF(AND(ISNUMBER(D78),ISNUMBER(E78)),D78*E78,"")</f>
        <v/>
      </c>
      <c r="G78" s="31" t="n"/>
      <c r="H78" s="32">
        <f>IF(C78="SELL",F78-SUMIFS($F$2:$F$1000,$B$2:$B$1000,B78,$C$2:$C$1000,"&lt;&gt;SELL",$A$2:$A$1000,"&gt;"&amp;_xlfn.MAXIFS($A$2:$A$1000,$B$2:$B$1000,B78,$C$2:$C$1000,"SELL",$A$2:$A$1000,"&lt;"&amp;A78),$A$2:$A$1000,"&lt;="&amp;A78),"")</f>
        <v/>
      </c>
    </row>
    <row r="79">
      <c r="A79" s="29" t="n"/>
      <c r="B79" s="30" t="n"/>
      <c r="C79" s="30" t="n"/>
      <c r="D79" s="31" t="n"/>
      <c r="E79" s="30" t="n"/>
      <c r="F79" s="32">
        <f>IF(AND(ISNUMBER(D79),ISNUMBER(E79)),D79*E79,"")</f>
        <v/>
      </c>
      <c r="G79" s="31" t="n"/>
      <c r="H79" s="32">
        <f>IF(C79="SELL",F79-SUMIFS($F$2:$F$1000,$B$2:$B$1000,B79,$C$2:$C$1000,"&lt;&gt;SELL",$A$2:$A$1000,"&gt;"&amp;_xlfn.MAXIFS($A$2:$A$1000,$B$2:$B$1000,B79,$C$2:$C$1000,"SELL",$A$2:$A$1000,"&lt;"&amp;A79),$A$2:$A$1000,"&lt;="&amp;A79),"")</f>
        <v/>
      </c>
    </row>
    <row r="80">
      <c r="A80" s="29" t="n"/>
      <c r="B80" s="30" t="n"/>
      <c r="C80" s="30" t="n"/>
      <c r="D80" s="31" t="n"/>
      <c r="E80" s="30" t="n"/>
      <c r="F80" s="32">
        <f>IF(AND(ISNUMBER(D80),ISNUMBER(E80)),D80*E80,"")</f>
        <v/>
      </c>
      <c r="G80" s="31" t="n"/>
      <c r="H80" s="32">
        <f>IF(C80="SELL",F80-SUMIFS($F$2:$F$1000,$B$2:$B$1000,B80,$C$2:$C$1000,"&lt;&gt;SELL",$A$2:$A$1000,"&gt;"&amp;_xlfn.MAXIFS($A$2:$A$1000,$B$2:$B$1000,B80,$C$2:$C$1000,"SELL",$A$2:$A$1000,"&lt;"&amp;A80),$A$2:$A$1000,"&lt;="&amp;A80),"")</f>
        <v/>
      </c>
    </row>
    <row r="81">
      <c r="A81" s="29" t="n"/>
      <c r="B81" s="30" t="n"/>
      <c r="C81" s="30" t="n"/>
      <c r="D81" s="31" t="n"/>
      <c r="E81" s="30" t="n"/>
      <c r="F81" s="32">
        <f>IF(AND(ISNUMBER(D81),ISNUMBER(E81)),D81*E81,"")</f>
        <v/>
      </c>
      <c r="G81" s="31" t="n"/>
      <c r="H81" s="32">
        <f>IF(C81="SELL",F81-SUMIFS($F$2:$F$1000,$B$2:$B$1000,B81,$C$2:$C$1000,"&lt;&gt;SELL",$A$2:$A$1000,"&gt;"&amp;_xlfn.MAXIFS($A$2:$A$1000,$B$2:$B$1000,B81,$C$2:$C$1000,"SELL",$A$2:$A$1000,"&lt;"&amp;A81),$A$2:$A$1000,"&lt;="&amp;A81),"")</f>
        <v/>
      </c>
    </row>
    <row r="82">
      <c r="A82" s="29" t="n"/>
      <c r="B82" s="30" t="n"/>
      <c r="C82" s="30" t="n"/>
      <c r="D82" s="31" t="n"/>
      <c r="E82" s="30" t="n"/>
      <c r="F82" s="32">
        <f>IF(AND(ISNUMBER(D82),ISNUMBER(E82)),D82*E82,"")</f>
        <v/>
      </c>
      <c r="G82" s="31" t="n"/>
      <c r="H82" s="32">
        <f>IF(C82="SELL",F82-SUMIFS($F$2:$F$1000,$B$2:$B$1000,B82,$C$2:$C$1000,"&lt;&gt;SELL",$A$2:$A$1000,"&gt;"&amp;_xlfn.MAXIFS($A$2:$A$1000,$B$2:$B$1000,B82,$C$2:$C$1000,"SELL",$A$2:$A$1000,"&lt;"&amp;A82),$A$2:$A$1000,"&lt;="&amp;A82),"")</f>
        <v/>
      </c>
    </row>
    <row r="83">
      <c r="A83" s="29" t="n"/>
      <c r="B83" s="30" t="n"/>
      <c r="C83" s="30" t="n"/>
      <c r="D83" s="31" t="n"/>
      <c r="E83" s="30" t="n"/>
      <c r="F83" s="32">
        <f>IF(AND(ISNUMBER(D83),ISNUMBER(E83)),D83*E83,"")</f>
        <v/>
      </c>
      <c r="G83" s="31" t="n"/>
      <c r="H83" s="32">
        <f>IF(C83="SELL",F83-SUMIFS($F$2:$F$1000,$B$2:$B$1000,B83,$C$2:$C$1000,"&lt;&gt;SELL",$A$2:$A$1000,"&gt;"&amp;_xlfn.MAXIFS($A$2:$A$1000,$B$2:$B$1000,B83,$C$2:$C$1000,"SELL",$A$2:$A$1000,"&lt;"&amp;A83),$A$2:$A$1000,"&lt;="&amp;A83),"")</f>
        <v/>
      </c>
    </row>
    <row r="84">
      <c r="A84" s="29" t="n"/>
      <c r="B84" s="30" t="n"/>
      <c r="C84" s="30" t="n"/>
      <c r="D84" s="31" t="n"/>
      <c r="E84" s="30" t="n"/>
      <c r="F84" s="32">
        <f>IF(AND(ISNUMBER(D84),ISNUMBER(E84)),D84*E84,"")</f>
        <v/>
      </c>
      <c r="G84" s="31" t="n"/>
      <c r="H84" s="32">
        <f>IF(C84="SELL",F84-SUMIFS($F$2:$F$1000,$B$2:$B$1000,B84,$C$2:$C$1000,"&lt;&gt;SELL",$A$2:$A$1000,"&gt;"&amp;_xlfn.MAXIFS($A$2:$A$1000,$B$2:$B$1000,B84,$C$2:$C$1000,"SELL",$A$2:$A$1000,"&lt;"&amp;A84),$A$2:$A$1000,"&lt;="&amp;A84),"")</f>
        <v/>
      </c>
    </row>
    <row r="85">
      <c r="A85" s="29" t="n"/>
      <c r="B85" s="30" t="n"/>
      <c r="C85" s="30" t="n"/>
      <c r="D85" s="31" t="n"/>
      <c r="E85" s="30" t="n"/>
      <c r="F85" s="32">
        <f>IF(AND(ISNUMBER(D85),ISNUMBER(E85)),D85*E85,"")</f>
        <v/>
      </c>
      <c r="G85" s="31" t="n"/>
      <c r="H85" s="32">
        <f>IF(C85="SELL",F85-SUMIFS($F$2:$F$1000,$B$2:$B$1000,B85,$C$2:$C$1000,"&lt;&gt;SELL",$A$2:$A$1000,"&gt;"&amp;_xlfn.MAXIFS($A$2:$A$1000,$B$2:$B$1000,B85,$C$2:$C$1000,"SELL",$A$2:$A$1000,"&lt;"&amp;A85),$A$2:$A$1000,"&lt;="&amp;A85),"")</f>
        <v/>
      </c>
    </row>
    <row r="86">
      <c r="A86" s="29" t="n"/>
      <c r="B86" s="30" t="n"/>
      <c r="C86" s="30" t="n"/>
      <c r="D86" s="31" t="n"/>
      <c r="E86" s="30" t="n"/>
      <c r="F86" s="32">
        <f>IF(AND(ISNUMBER(D86),ISNUMBER(E86)),D86*E86,"")</f>
        <v/>
      </c>
      <c r="G86" s="31" t="n"/>
      <c r="H86" s="32">
        <f>IF(C86="SELL",F86-SUMIFS($F$2:$F$1000,$B$2:$B$1000,B86,$C$2:$C$1000,"&lt;&gt;SELL",$A$2:$A$1000,"&gt;"&amp;_xlfn.MAXIFS($A$2:$A$1000,$B$2:$B$1000,B86,$C$2:$C$1000,"SELL",$A$2:$A$1000,"&lt;"&amp;A86),$A$2:$A$1000,"&lt;="&amp;A86),"")</f>
        <v/>
      </c>
    </row>
    <row r="87">
      <c r="A87" s="29" t="n"/>
      <c r="B87" s="30" t="n"/>
      <c r="C87" s="30" t="n"/>
      <c r="D87" s="31" t="n"/>
      <c r="E87" s="30" t="n"/>
      <c r="F87" s="32">
        <f>IF(AND(ISNUMBER(D87),ISNUMBER(E87)),D87*E87,"")</f>
        <v/>
      </c>
      <c r="G87" s="31" t="n"/>
      <c r="H87" s="32">
        <f>IF(C87="SELL",F87-SUMIFS($F$2:$F$1000,$B$2:$B$1000,B87,$C$2:$C$1000,"&lt;&gt;SELL",$A$2:$A$1000,"&gt;"&amp;_xlfn.MAXIFS($A$2:$A$1000,$B$2:$B$1000,B87,$C$2:$C$1000,"SELL",$A$2:$A$1000,"&lt;"&amp;A87),$A$2:$A$1000,"&lt;="&amp;A87),"")</f>
        <v/>
      </c>
    </row>
    <row r="88">
      <c r="A88" s="29" t="n"/>
      <c r="B88" s="30" t="n"/>
      <c r="C88" s="30" t="n"/>
      <c r="D88" s="31" t="n"/>
      <c r="E88" s="30" t="n"/>
      <c r="F88" s="32">
        <f>IF(AND(ISNUMBER(D88),ISNUMBER(E88)),D88*E88,"")</f>
        <v/>
      </c>
      <c r="G88" s="31" t="n"/>
      <c r="H88" s="32">
        <f>IF(C88="SELL",F88-SUMIFS($F$2:$F$1000,$B$2:$B$1000,B88,$C$2:$C$1000,"&lt;&gt;SELL",$A$2:$A$1000,"&gt;"&amp;_xlfn.MAXIFS($A$2:$A$1000,$B$2:$B$1000,B88,$C$2:$C$1000,"SELL",$A$2:$A$1000,"&lt;"&amp;A88),$A$2:$A$1000,"&lt;="&amp;A88),"")</f>
        <v/>
      </c>
    </row>
    <row r="89">
      <c r="A89" s="29" t="n"/>
      <c r="B89" s="30" t="n"/>
      <c r="C89" s="30" t="n"/>
      <c r="D89" s="31" t="n"/>
      <c r="E89" s="30" t="n"/>
      <c r="F89" s="32">
        <f>IF(AND(ISNUMBER(D89),ISNUMBER(E89)),D89*E89,"")</f>
        <v/>
      </c>
      <c r="G89" s="31" t="n"/>
      <c r="H89" s="32">
        <f>IF(C89="SELL",F89-SUMIFS($F$2:$F$1000,$B$2:$B$1000,B89,$C$2:$C$1000,"&lt;&gt;SELL",$A$2:$A$1000,"&gt;"&amp;_xlfn.MAXIFS($A$2:$A$1000,$B$2:$B$1000,B89,$C$2:$C$1000,"SELL",$A$2:$A$1000,"&lt;"&amp;A89),$A$2:$A$1000,"&lt;="&amp;A89),"")</f>
        <v/>
      </c>
    </row>
    <row r="90">
      <c r="A90" s="29" t="n"/>
      <c r="B90" s="30" t="n"/>
      <c r="C90" s="30" t="n"/>
      <c r="D90" s="31" t="n"/>
      <c r="E90" s="30" t="n"/>
      <c r="F90" s="32">
        <f>IF(AND(ISNUMBER(D90),ISNUMBER(E90)),D90*E90,"")</f>
        <v/>
      </c>
      <c r="G90" s="31" t="n"/>
      <c r="H90" s="32">
        <f>IF(C90="SELL",F90-SUMIFS($F$2:$F$1000,$B$2:$B$1000,B90,$C$2:$C$1000,"&lt;&gt;SELL",$A$2:$A$1000,"&gt;"&amp;_xlfn.MAXIFS($A$2:$A$1000,$B$2:$B$1000,B90,$C$2:$C$1000,"SELL",$A$2:$A$1000,"&lt;"&amp;A90),$A$2:$A$1000,"&lt;="&amp;A90),"")</f>
        <v/>
      </c>
    </row>
    <row r="91">
      <c r="A91" s="29" t="n"/>
      <c r="B91" s="30" t="n"/>
      <c r="C91" s="30" t="n"/>
      <c r="D91" s="31" t="n"/>
      <c r="E91" s="30" t="n"/>
      <c r="F91" s="32">
        <f>IF(AND(ISNUMBER(D91),ISNUMBER(E91)),D91*E91,"")</f>
        <v/>
      </c>
      <c r="G91" s="31" t="n"/>
      <c r="H91" s="32">
        <f>IF(C91="SELL",F91-SUMIFS($F$2:$F$1000,$B$2:$B$1000,B91,$C$2:$C$1000,"&lt;&gt;SELL",$A$2:$A$1000,"&gt;"&amp;_xlfn.MAXIFS($A$2:$A$1000,$B$2:$B$1000,B91,$C$2:$C$1000,"SELL",$A$2:$A$1000,"&lt;"&amp;A91),$A$2:$A$1000,"&lt;="&amp;A91),"")</f>
        <v/>
      </c>
    </row>
    <row r="92">
      <c r="A92" s="29" t="n"/>
      <c r="B92" s="30" t="n"/>
      <c r="C92" s="30" t="n"/>
      <c r="D92" s="31" t="n"/>
      <c r="E92" s="30" t="n"/>
      <c r="F92" s="32">
        <f>IF(AND(ISNUMBER(D92),ISNUMBER(E92)),D92*E92,"")</f>
        <v/>
      </c>
      <c r="G92" s="31" t="n"/>
      <c r="H92" s="32">
        <f>IF(C92="SELL",F92-SUMIFS($F$2:$F$1000,$B$2:$B$1000,B92,$C$2:$C$1000,"&lt;&gt;SELL",$A$2:$A$1000,"&gt;"&amp;_xlfn.MAXIFS($A$2:$A$1000,$B$2:$B$1000,B92,$C$2:$C$1000,"SELL",$A$2:$A$1000,"&lt;"&amp;A92),$A$2:$A$1000,"&lt;="&amp;A92),"")</f>
        <v/>
      </c>
    </row>
    <row r="93">
      <c r="A93" s="29" t="n"/>
      <c r="B93" s="30" t="n"/>
      <c r="C93" s="30" t="n"/>
      <c r="D93" s="31" t="n"/>
      <c r="E93" s="30" t="n"/>
      <c r="F93" s="32">
        <f>IF(AND(ISNUMBER(D93),ISNUMBER(E93)),D93*E93,"")</f>
        <v/>
      </c>
      <c r="G93" s="31" t="n"/>
      <c r="H93" s="32">
        <f>IF(C93="SELL",F93-SUMIFS($F$2:$F$1000,$B$2:$B$1000,B93,$C$2:$C$1000,"&lt;&gt;SELL",$A$2:$A$1000,"&gt;"&amp;_xlfn.MAXIFS($A$2:$A$1000,$B$2:$B$1000,B93,$C$2:$C$1000,"SELL",$A$2:$A$1000,"&lt;"&amp;A93),$A$2:$A$1000,"&lt;="&amp;A93),"")</f>
        <v/>
      </c>
    </row>
    <row r="94">
      <c r="A94" s="29" t="n"/>
      <c r="B94" s="30" t="n"/>
      <c r="C94" s="30" t="n"/>
      <c r="D94" s="31" t="n"/>
      <c r="E94" s="30" t="n"/>
      <c r="F94" s="32">
        <f>IF(AND(ISNUMBER(D94),ISNUMBER(E94)),D94*E94,"")</f>
        <v/>
      </c>
      <c r="G94" s="31" t="n"/>
      <c r="H94" s="32">
        <f>IF(C94="SELL",F94-SUMIFS($F$2:$F$1000,$B$2:$B$1000,B94,$C$2:$C$1000,"&lt;&gt;SELL",$A$2:$A$1000,"&gt;"&amp;_xlfn.MAXIFS($A$2:$A$1000,$B$2:$B$1000,B94,$C$2:$C$1000,"SELL",$A$2:$A$1000,"&lt;"&amp;A94),$A$2:$A$1000,"&lt;="&amp;A94),"")</f>
        <v/>
      </c>
    </row>
    <row r="95">
      <c r="A95" s="29" t="n"/>
      <c r="B95" s="30" t="n"/>
      <c r="C95" s="30" t="n"/>
      <c r="D95" s="31" t="n"/>
      <c r="E95" s="30" t="n"/>
      <c r="F95" s="32">
        <f>IF(AND(ISNUMBER(D95),ISNUMBER(E95)),D95*E95,"")</f>
        <v/>
      </c>
      <c r="G95" s="31" t="n"/>
      <c r="H95" s="32">
        <f>IF(C95="SELL",F95-SUMIFS($F$2:$F$1000,$B$2:$B$1000,B95,$C$2:$C$1000,"&lt;&gt;SELL",$A$2:$A$1000,"&gt;"&amp;_xlfn.MAXIFS($A$2:$A$1000,$B$2:$B$1000,B95,$C$2:$C$1000,"SELL",$A$2:$A$1000,"&lt;"&amp;A95),$A$2:$A$1000,"&lt;="&amp;A95),"")</f>
        <v/>
      </c>
    </row>
    <row r="96">
      <c r="A96" s="29" t="n"/>
      <c r="B96" s="30" t="n"/>
      <c r="C96" s="30" t="n"/>
      <c r="D96" s="31" t="n"/>
      <c r="E96" s="30" t="n"/>
      <c r="F96" s="32">
        <f>IF(AND(ISNUMBER(D96),ISNUMBER(E96)),D96*E96,"")</f>
        <v/>
      </c>
      <c r="G96" s="31" t="n"/>
      <c r="H96" s="32">
        <f>IF(C96="SELL",F96-SUMIFS($F$2:$F$1000,$B$2:$B$1000,B96,$C$2:$C$1000,"&lt;&gt;SELL",$A$2:$A$1000,"&gt;"&amp;_xlfn.MAXIFS($A$2:$A$1000,$B$2:$B$1000,B96,$C$2:$C$1000,"SELL",$A$2:$A$1000,"&lt;"&amp;A96),$A$2:$A$1000,"&lt;="&amp;A96),"")</f>
        <v/>
      </c>
    </row>
    <row r="97">
      <c r="A97" s="29" t="n"/>
      <c r="B97" s="30" t="n"/>
      <c r="C97" s="30" t="n"/>
      <c r="D97" s="31" t="n"/>
      <c r="E97" s="30" t="n"/>
      <c r="F97" s="32">
        <f>IF(AND(ISNUMBER(D97),ISNUMBER(E97)),D97*E97,"")</f>
        <v/>
      </c>
      <c r="G97" s="31" t="n"/>
      <c r="H97" s="32">
        <f>IF(C97="SELL",F97-SUMIFS($F$2:$F$1000,$B$2:$B$1000,B97,$C$2:$C$1000,"&lt;&gt;SELL",$A$2:$A$1000,"&gt;"&amp;_xlfn.MAXIFS($A$2:$A$1000,$B$2:$B$1000,B97,$C$2:$C$1000,"SELL",$A$2:$A$1000,"&lt;"&amp;A97),$A$2:$A$1000,"&lt;="&amp;A97),"")</f>
        <v/>
      </c>
    </row>
    <row r="98">
      <c r="A98" s="29" t="n"/>
      <c r="B98" s="30" t="n"/>
      <c r="C98" s="30" t="n"/>
      <c r="D98" s="31" t="n"/>
      <c r="E98" s="30" t="n"/>
      <c r="F98" s="32">
        <f>IF(AND(ISNUMBER(D98),ISNUMBER(E98)),D98*E98,"")</f>
        <v/>
      </c>
      <c r="G98" s="31" t="n"/>
      <c r="H98" s="32">
        <f>IF(C98="SELL",F98-SUMIFS($F$2:$F$1000,$B$2:$B$1000,B98,$C$2:$C$1000,"&lt;&gt;SELL",$A$2:$A$1000,"&gt;"&amp;_xlfn.MAXIFS($A$2:$A$1000,$B$2:$B$1000,B98,$C$2:$C$1000,"SELL",$A$2:$A$1000,"&lt;"&amp;A98),$A$2:$A$1000,"&lt;="&amp;A98),"")</f>
        <v/>
      </c>
    </row>
    <row r="99">
      <c r="A99" s="29" t="n"/>
      <c r="B99" s="30" t="n"/>
      <c r="C99" s="30" t="n"/>
      <c r="D99" s="31" t="n"/>
      <c r="E99" s="30" t="n"/>
      <c r="F99" s="32">
        <f>IF(AND(ISNUMBER(D99),ISNUMBER(E99)),D99*E99,"")</f>
        <v/>
      </c>
      <c r="G99" s="31" t="n"/>
      <c r="H99" s="32">
        <f>IF(C99="SELL",F99-SUMIFS($F$2:$F$1000,$B$2:$B$1000,B99,$C$2:$C$1000,"&lt;&gt;SELL",$A$2:$A$1000,"&gt;"&amp;_xlfn.MAXIFS($A$2:$A$1000,$B$2:$B$1000,B99,$C$2:$C$1000,"SELL",$A$2:$A$1000,"&lt;"&amp;A99),$A$2:$A$1000,"&lt;="&amp;A99),"")</f>
        <v/>
      </c>
    </row>
    <row r="100">
      <c r="A100" s="29" t="n"/>
      <c r="B100" s="30" t="n"/>
      <c r="C100" s="30" t="n"/>
      <c r="D100" s="31" t="n"/>
      <c r="E100" s="30" t="n"/>
      <c r="F100" s="32">
        <f>IF(AND(ISNUMBER(D100),ISNUMBER(E100)),D100*E100,"")</f>
        <v/>
      </c>
      <c r="G100" s="31" t="n"/>
      <c r="H100" s="32">
        <f>IF(C100="SELL",F100-SUMIFS($F$2:$F$1000,$B$2:$B$1000,B100,$C$2:$C$1000,"&lt;&gt;SELL",$A$2:$A$1000,"&gt;"&amp;_xlfn.MAXIFS($A$2:$A$1000,$B$2:$B$1000,B100,$C$2:$C$1000,"SELL",$A$2:$A$1000,"&lt;"&amp;A100),$A$2:$A$1000,"&lt;="&amp;A100),"")</f>
        <v/>
      </c>
    </row>
    <row r="101">
      <c r="A101" s="29" t="n"/>
      <c r="B101" s="30" t="n"/>
      <c r="C101" s="30" t="n"/>
      <c r="D101" s="31" t="n"/>
      <c r="E101" s="30" t="n"/>
      <c r="F101" s="32">
        <f>IF(AND(ISNUMBER(D101),ISNUMBER(E101)),D101*E101,"")</f>
        <v/>
      </c>
      <c r="G101" s="31" t="n"/>
      <c r="H101" s="32">
        <f>IF(C101="SELL",F101-SUMIFS($F$2:$F$1000,$B$2:$B$1000,B101,$C$2:$C$1000,"&lt;&gt;SELL",$A$2:$A$1000,"&gt;"&amp;_xlfn.MAXIFS($A$2:$A$1000,$B$2:$B$1000,B101,$C$2:$C$1000,"SELL",$A$2:$A$1000,"&lt;"&amp;A101),$A$2:$A$1000,"&lt;="&amp;A101),"")</f>
        <v/>
      </c>
    </row>
    <row r="102">
      <c r="A102" s="29" t="n"/>
      <c r="B102" s="30" t="n"/>
      <c r="C102" s="30" t="n"/>
      <c r="D102" s="31" t="n"/>
      <c r="E102" s="30" t="n"/>
      <c r="F102" s="32">
        <f>IF(AND(ISNUMBER(D102),ISNUMBER(E102)),D102*E102,"")</f>
        <v/>
      </c>
      <c r="G102" s="31" t="n"/>
      <c r="H102" s="32">
        <f>IF(C102="SELL",F102-SUMIFS($F$2:$F$1000,$B$2:$B$1000,B102,$C$2:$C$1000,"&lt;&gt;SELL",$A$2:$A$1000,"&gt;"&amp;_xlfn.MAXIFS($A$2:$A$1000,$B$2:$B$1000,B102,$C$2:$C$1000,"SELL",$A$2:$A$1000,"&lt;"&amp;A102),$A$2:$A$1000,"&lt;="&amp;A102),"")</f>
        <v/>
      </c>
    </row>
    <row r="103">
      <c r="A103" s="29" t="n"/>
      <c r="B103" s="30" t="n"/>
      <c r="C103" s="30" t="n"/>
      <c r="D103" s="31" t="n"/>
      <c r="E103" s="30" t="n"/>
      <c r="F103" s="32">
        <f>IF(AND(ISNUMBER(D103),ISNUMBER(E103)),D103*E103,"")</f>
        <v/>
      </c>
      <c r="G103" s="31" t="n"/>
      <c r="H103" s="32">
        <f>IF(C103="SELL",F103-SUMIFS($F$2:$F$1000,$B$2:$B$1000,B103,$C$2:$C$1000,"&lt;&gt;SELL",$A$2:$A$1000,"&gt;"&amp;_xlfn.MAXIFS($A$2:$A$1000,$B$2:$B$1000,B103,$C$2:$C$1000,"SELL",$A$2:$A$1000,"&lt;"&amp;A103),$A$2:$A$1000,"&lt;="&amp;A103),"")</f>
        <v/>
      </c>
    </row>
    <row r="104">
      <c r="A104" s="29" t="n"/>
      <c r="B104" s="30" t="n"/>
      <c r="C104" s="30" t="n"/>
      <c r="D104" s="31" t="n"/>
      <c r="E104" s="30" t="n"/>
      <c r="F104" s="32">
        <f>IF(AND(ISNUMBER(D104),ISNUMBER(E104)),D104*E104,"")</f>
        <v/>
      </c>
      <c r="G104" s="31" t="n"/>
      <c r="H104" s="32">
        <f>IF(C104="SELL",F104-SUMIFS($F$2:$F$1000,$B$2:$B$1000,B104,$C$2:$C$1000,"&lt;&gt;SELL",$A$2:$A$1000,"&gt;"&amp;_xlfn.MAXIFS($A$2:$A$1000,$B$2:$B$1000,B104,$C$2:$C$1000,"SELL",$A$2:$A$1000,"&lt;"&amp;A104),$A$2:$A$1000,"&lt;="&amp;A104),"")</f>
        <v/>
      </c>
    </row>
    <row r="105">
      <c r="A105" s="29" t="n"/>
      <c r="B105" s="30" t="n"/>
      <c r="C105" s="30" t="n"/>
      <c r="D105" s="31" t="n"/>
      <c r="E105" s="30" t="n"/>
      <c r="F105" s="32">
        <f>IF(AND(ISNUMBER(D105),ISNUMBER(E105)),D105*E105,"")</f>
        <v/>
      </c>
      <c r="G105" s="31" t="n"/>
      <c r="H105" s="32">
        <f>IF(C105="SELL",F105-SUMIFS($F$2:$F$1000,$B$2:$B$1000,B105,$C$2:$C$1000,"&lt;&gt;SELL",$A$2:$A$1000,"&gt;"&amp;_xlfn.MAXIFS($A$2:$A$1000,$B$2:$B$1000,B105,$C$2:$C$1000,"SELL",$A$2:$A$1000,"&lt;"&amp;A105),$A$2:$A$1000,"&lt;="&amp;A105),"")</f>
        <v/>
      </c>
    </row>
    <row r="106">
      <c r="A106" s="29" t="n"/>
      <c r="B106" s="30" t="n"/>
      <c r="C106" s="30" t="n"/>
      <c r="D106" s="31" t="n"/>
      <c r="E106" s="30" t="n"/>
      <c r="F106" s="32">
        <f>IF(AND(ISNUMBER(D106),ISNUMBER(E106)),D106*E106,"")</f>
        <v/>
      </c>
      <c r="G106" s="31" t="n"/>
      <c r="H106" s="32">
        <f>IF(C106="SELL",F106-SUMIFS($F$2:$F$1000,$B$2:$B$1000,B106,$C$2:$C$1000,"&lt;&gt;SELL",$A$2:$A$1000,"&gt;"&amp;_xlfn.MAXIFS($A$2:$A$1000,$B$2:$B$1000,B106,$C$2:$C$1000,"SELL",$A$2:$A$1000,"&lt;"&amp;A106),$A$2:$A$1000,"&lt;="&amp;A106),"")</f>
        <v/>
      </c>
    </row>
    <row r="107">
      <c r="A107" s="29" t="n"/>
      <c r="B107" s="30" t="n"/>
      <c r="C107" s="30" t="n"/>
      <c r="D107" s="31" t="n"/>
      <c r="E107" s="30" t="n"/>
      <c r="F107" s="32">
        <f>IF(AND(ISNUMBER(D107),ISNUMBER(E107)),D107*E107,"")</f>
        <v/>
      </c>
      <c r="G107" s="31" t="n"/>
      <c r="H107" s="32">
        <f>IF(C107="SELL",F107-SUMIFS($F$2:$F$1000,$B$2:$B$1000,B107,$C$2:$C$1000,"&lt;&gt;SELL",$A$2:$A$1000,"&gt;"&amp;_xlfn.MAXIFS($A$2:$A$1000,$B$2:$B$1000,B107,$C$2:$C$1000,"SELL",$A$2:$A$1000,"&lt;"&amp;A107),$A$2:$A$1000,"&lt;="&amp;A107),"")</f>
        <v/>
      </c>
    </row>
    <row r="108">
      <c r="A108" s="29" t="n"/>
      <c r="B108" s="30" t="n"/>
      <c r="C108" s="30" t="n"/>
      <c r="D108" s="31" t="n"/>
      <c r="E108" s="30" t="n"/>
      <c r="F108" s="32">
        <f>IF(AND(ISNUMBER(D108),ISNUMBER(E108)),D108*E108,"")</f>
        <v/>
      </c>
      <c r="G108" s="31" t="n"/>
      <c r="H108" s="32">
        <f>IF(C108="SELL",F108-SUMIFS($F$2:$F$1000,$B$2:$B$1000,B108,$C$2:$C$1000,"&lt;&gt;SELL",$A$2:$A$1000,"&gt;"&amp;_xlfn.MAXIFS($A$2:$A$1000,$B$2:$B$1000,B108,$C$2:$C$1000,"SELL",$A$2:$A$1000,"&lt;"&amp;A108),$A$2:$A$1000,"&lt;="&amp;A108),"")</f>
        <v/>
      </c>
    </row>
    <row r="109">
      <c r="A109" s="29" t="n"/>
      <c r="B109" s="30" t="n"/>
      <c r="C109" s="30" t="n"/>
      <c r="D109" s="31" t="n"/>
      <c r="E109" s="30" t="n"/>
      <c r="F109" s="32">
        <f>IF(AND(ISNUMBER(D109),ISNUMBER(E109)),D109*E109,"")</f>
        <v/>
      </c>
      <c r="G109" s="31" t="n"/>
      <c r="H109" s="32">
        <f>IF(C109="SELL",F109-SUMIFS($F$2:$F$1000,$B$2:$B$1000,B109,$C$2:$C$1000,"&lt;&gt;SELL",$A$2:$A$1000,"&gt;"&amp;_xlfn.MAXIFS($A$2:$A$1000,$B$2:$B$1000,B109,$C$2:$C$1000,"SELL",$A$2:$A$1000,"&lt;"&amp;A109),$A$2:$A$1000,"&lt;="&amp;A109),"")</f>
        <v/>
      </c>
    </row>
    <row r="110">
      <c r="A110" s="29" t="n"/>
      <c r="B110" s="30" t="n"/>
      <c r="C110" s="30" t="n"/>
      <c r="D110" s="31" t="n"/>
      <c r="E110" s="30" t="n"/>
      <c r="F110" s="32">
        <f>IF(AND(ISNUMBER(D110),ISNUMBER(E110)),D110*E110,"")</f>
        <v/>
      </c>
      <c r="G110" s="31" t="n"/>
      <c r="H110" s="32">
        <f>IF(C110="SELL",F110-SUMIFS($F$2:$F$1000,$B$2:$B$1000,B110,$C$2:$C$1000,"&lt;&gt;SELL",$A$2:$A$1000,"&gt;"&amp;_xlfn.MAXIFS($A$2:$A$1000,$B$2:$B$1000,B110,$C$2:$C$1000,"SELL",$A$2:$A$1000,"&lt;"&amp;A110),$A$2:$A$1000,"&lt;="&amp;A110),"")</f>
        <v/>
      </c>
    </row>
    <row r="111">
      <c r="A111" s="29" t="n"/>
      <c r="B111" s="30" t="n"/>
      <c r="C111" s="30" t="n"/>
      <c r="D111" s="31" t="n"/>
      <c r="E111" s="30" t="n"/>
      <c r="F111" s="32">
        <f>IF(AND(ISNUMBER(D111),ISNUMBER(E111)),D111*E111,"")</f>
        <v/>
      </c>
      <c r="G111" s="31" t="n"/>
      <c r="H111" s="32">
        <f>IF(C111="SELL",F111-SUMIFS($F$2:$F$1000,$B$2:$B$1000,B111,$C$2:$C$1000,"&lt;&gt;SELL",$A$2:$A$1000,"&gt;"&amp;_xlfn.MAXIFS($A$2:$A$1000,$B$2:$B$1000,B111,$C$2:$C$1000,"SELL",$A$2:$A$1000,"&lt;"&amp;A111),$A$2:$A$1000,"&lt;="&amp;A111),"")</f>
        <v/>
      </c>
    </row>
    <row r="112">
      <c r="A112" s="29" t="n"/>
      <c r="B112" s="30" t="n"/>
      <c r="C112" s="30" t="n"/>
      <c r="D112" s="31" t="n"/>
      <c r="E112" s="30" t="n"/>
      <c r="F112" s="32">
        <f>IF(AND(ISNUMBER(D112),ISNUMBER(E112)),D112*E112,"")</f>
        <v/>
      </c>
      <c r="G112" s="31" t="n"/>
      <c r="H112" s="32">
        <f>IF(C112="SELL",F112-SUMIFS($F$2:$F$1000,$B$2:$B$1000,B112,$C$2:$C$1000,"&lt;&gt;SELL",$A$2:$A$1000,"&gt;"&amp;_xlfn.MAXIFS($A$2:$A$1000,$B$2:$B$1000,B112,$C$2:$C$1000,"SELL",$A$2:$A$1000,"&lt;"&amp;A112),$A$2:$A$1000,"&lt;="&amp;A112),"")</f>
        <v/>
      </c>
    </row>
    <row r="113">
      <c r="A113" s="29" t="n"/>
      <c r="B113" s="30" t="n"/>
      <c r="C113" s="30" t="n"/>
      <c r="D113" s="31" t="n"/>
      <c r="E113" s="30" t="n"/>
      <c r="F113" s="32">
        <f>IF(AND(ISNUMBER(D113),ISNUMBER(E113)),D113*E113,"")</f>
        <v/>
      </c>
      <c r="G113" s="31" t="n"/>
      <c r="H113" s="32">
        <f>IF(C113="SELL",F113-SUMIFS($F$2:$F$1000,$B$2:$B$1000,B113,$C$2:$C$1000,"&lt;&gt;SELL",$A$2:$A$1000,"&gt;"&amp;_xlfn.MAXIFS($A$2:$A$1000,$B$2:$B$1000,B113,$C$2:$C$1000,"SELL",$A$2:$A$1000,"&lt;"&amp;A113),$A$2:$A$1000,"&lt;="&amp;A113),"")</f>
        <v/>
      </c>
    </row>
    <row r="114">
      <c r="A114" s="29" t="n"/>
      <c r="B114" s="30" t="n"/>
      <c r="C114" s="30" t="n"/>
      <c r="D114" s="31" t="n"/>
      <c r="E114" s="30" t="n"/>
      <c r="F114" s="32">
        <f>IF(AND(ISNUMBER(D114),ISNUMBER(E114)),D114*E114,"")</f>
        <v/>
      </c>
      <c r="G114" s="31" t="n"/>
      <c r="H114" s="32">
        <f>IF(C114="SELL",F114-SUMIFS($F$2:$F$1000,$B$2:$B$1000,B114,$C$2:$C$1000,"&lt;&gt;SELL",$A$2:$A$1000,"&gt;"&amp;_xlfn.MAXIFS($A$2:$A$1000,$B$2:$B$1000,B114,$C$2:$C$1000,"SELL",$A$2:$A$1000,"&lt;"&amp;A114),$A$2:$A$1000,"&lt;="&amp;A114),"")</f>
        <v/>
      </c>
    </row>
    <row r="115">
      <c r="A115" s="29" t="n"/>
      <c r="B115" s="30" t="n"/>
      <c r="C115" s="30" t="n"/>
      <c r="D115" s="31" t="n"/>
      <c r="E115" s="30" t="n"/>
      <c r="F115" s="32">
        <f>IF(AND(ISNUMBER(D115),ISNUMBER(E115)),D115*E115,"")</f>
        <v/>
      </c>
      <c r="G115" s="31" t="n"/>
      <c r="H115" s="32">
        <f>IF(C115="SELL",F115-SUMIFS($F$2:$F$1000,$B$2:$B$1000,B115,$C$2:$C$1000,"&lt;&gt;SELL",$A$2:$A$1000,"&gt;"&amp;_xlfn.MAXIFS($A$2:$A$1000,$B$2:$B$1000,B115,$C$2:$C$1000,"SELL",$A$2:$A$1000,"&lt;"&amp;A115),$A$2:$A$1000,"&lt;="&amp;A115),"")</f>
        <v/>
      </c>
    </row>
    <row r="116">
      <c r="A116" s="29" t="n"/>
      <c r="B116" s="30" t="n"/>
      <c r="C116" s="30" t="n"/>
      <c r="D116" s="31" t="n"/>
      <c r="E116" s="30" t="n"/>
      <c r="F116" s="32">
        <f>IF(AND(ISNUMBER(D116),ISNUMBER(E116)),D116*E116,"")</f>
        <v/>
      </c>
      <c r="G116" s="31" t="n"/>
      <c r="H116" s="32">
        <f>IF(C116="SELL",F116-SUMIFS($F$2:$F$1000,$B$2:$B$1000,B116,$C$2:$C$1000,"&lt;&gt;SELL",$A$2:$A$1000,"&gt;"&amp;_xlfn.MAXIFS($A$2:$A$1000,$B$2:$B$1000,B116,$C$2:$C$1000,"SELL",$A$2:$A$1000,"&lt;"&amp;A116),$A$2:$A$1000,"&lt;="&amp;A116),"")</f>
        <v/>
      </c>
    </row>
    <row r="117">
      <c r="A117" s="29" t="n"/>
      <c r="B117" s="30" t="n"/>
      <c r="C117" s="30" t="n"/>
      <c r="D117" s="31" t="n"/>
      <c r="E117" s="30" t="n"/>
      <c r="F117" s="32">
        <f>IF(AND(ISNUMBER(D117),ISNUMBER(E117)),D117*E117,"")</f>
        <v/>
      </c>
      <c r="G117" s="31" t="n"/>
      <c r="H117" s="32">
        <f>IF(C117="SELL",F117-SUMIFS($F$2:$F$1000,$B$2:$B$1000,B117,$C$2:$C$1000,"&lt;&gt;SELL",$A$2:$A$1000,"&gt;"&amp;_xlfn.MAXIFS($A$2:$A$1000,$B$2:$B$1000,B117,$C$2:$C$1000,"SELL",$A$2:$A$1000,"&lt;"&amp;A117),$A$2:$A$1000,"&lt;="&amp;A117),"")</f>
        <v/>
      </c>
    </row>
    <row r="118">
      <c r="A118" s="29" t="n"/>
      <c r="B118" s="30" t="n"/>
      <c r="C118" s="30" t="n"/>
      <c r="D118" s="31" t="n"/>
      <c r="E118" s="30" t="n"/>
      <c r="F118" s="32">
        <f>IF(AND(ISNUMBER(D118),ISNUMBER(E118)),D118*E118,"")</f>
        <v/>
      </c>
      <c r="G118" s="31" t="n"/>
      <c r="H118" s="32">
        <f>IF(C118="SELL",F118-SUMIFS($F$2:$F$1000,$B$2:$B$1000,B118,$C$2:$C$1000,"&lt;&gt;SELL",$A$2:$A$1000,"&gt;"&amp;_xlfn.MAXIFS($A$2:$A$1000,$B$2:$B$1000,B118,$C$2:$C$1000,"SELL",$A$2:$A$1000,"&lt;"&amp;A118),$A$2:$A$1000,"&lt;="&amp;A118),"")</f>
        <v/>
      </c>
    </row>
    <row r="119">
      <c r="A119" s="29" t="n"/>
      <c r="B119" s="30" t="n"/>
      <c r="C119" s="30" t="n"/>
      <c r="D119" s="31" t="n"/>
      <c r="E119" s="30" t="n"/>
      <c r="F119" s="32">
        <f>IF(AND(ISNUMBER(D119),ISNUMBER(E119)),D119*E119,"")</f>
        <v/>
      </c>
      <c r="G119" s="31" t="n"/>
      <c r="H119" s="32">
        <f>IF(C119="SELL",F119-SUMIFS($F$2:$F$1000,$B$2:$B$1000,B119,$C$2:$C$1000,"&lt;&gt;SELL",$A$2:$A$1000,"&gt;"&amp;_xlfn.MAXIFS($A$2:$A$1000,$B$2:$B$1000,B119,$C$2:$C$1000,"SELL",$A$2:$A$1000,"&lt;"&amp;A119),$A$2:$A$1000,"&lt;="&amp;A119),"")</f>
        <v/>
      </c>
    </row>
    <row r="120">
      <c r="A120" s="29" t="n"/>
      <c r="B120" s="30" t="n"/>
      <c r="C120" s="30" t="n"/>
      <c r="D120" s="31" t="n"/>
      <c r="E120" s="30" t="n"/>
      <c r="F120" s="32">
        <f>IF(AND(ISNUMBER(D120),ISNUMBER(E120)),D120*E120,"")</f>
        <v/>
      </c>
      <c r="G120" s="31" t="n"/>
      <c r="H120" s="32">
        <f>IF(C120="SELL",F120-SUMIFS($F$2:$F$1000,$B$2:$B$1000,B120,$C$2:$C$1000,"&lt;&gt;SELL",$A$2:$A$1000,"&gt;"&amp;_xlfn.MAXIFS($A$2:$A$1000,$B$2:$B$1000,B120,$C$2:$C$1000,"SELL",$A$2:$A$1000,"&lt;"&amp;A120),$A$2:$A$1000,"&lt;="&amp;A120),"")</f>
        <v/>
      </c>
    </row>
    <row r="121">
      <c r="A121" s="29" t="n"/>
      <c r="B121" s="30" t="n"/>
      <c r="C121" s="30" t="n"/>
      <c r="D121" s="31" t="n"/>
      <c r="E121" s="30" t="n"/>
      <c r="F121" s="32">
        <f>IF(AND(ISNUMBER(D121),ISNUMBER(E121)),D121*E121,"")</f>
        <v/>
      </c>
      <c r="G121" s="31" t="n"/>
      <c r="H121" s="32">
        <f>IF(C121="SELL",F121-SUMIFS($F$2:$F$1000,$B$2:$B$1000,B121,$C$2:$C$1000,"&lt;&gt;SELL",$A$2:$A$1000,"&gt;"&amp;_xlfn.MAXIFS($A$2:$A$1000,$B$2:$B$1000,B121,$C$2:$C$1000,"SELL",$A$2:$A$1000,"&lt;"&amp;A121),$A$2:$A$1000,"&lt;="&amp;A121),"")</f>
        <v/>
      </c>
    </row>
    <row r="122">
      <c r="A122" s="29" t="n"/>
      <c r="B122" s="30" t="n"/>
      <c r="C122" s="30" t="n"/>
      <c r="D122" s="31" t="n"/>
      <c r="E122" s="30" t="n"/>
      <c r="F122" s="32">
        <f>IF(AND(ISNUMBER(D122),ISNUMBER(E122)),D122*E122,"")</f>
        <v/>
      </c>
      <c r="G122" s="31" t="n"/>
      <c r="H122" s="32">
        <f>IF(C122="SELL",F122-SUMIFS($F$2:$F$1000,$B$2:$B$1000,B122,$C$2:$C$1000,"&lt;&gt;SELL",$A$2:$A$1000,"&gt;"&amp;_xlfn.MAXIFS($A$2:$A$1000,$B$2:$B$1000,B122,$C$2:$C$1000,"SELL",$A$2:$A$1000,"&lt;"&amp;A122),$A$2:$A$1000,"&lt;="&amp;A122),"")</f>
        <v/>
      </c>
    </row>
    <row r="123">
      <c r="A123" s="29" t="n"/>
      <c r="B123" s="30" t="n"/>
      <c r="C123" s="30" t="n"/>
      <c r="D123" s="31" t="n"/>
      <c r="E123" s="30" t="n"/>
      <c r="F123" s="32">
        <f>IF(AND(ISNUMBER(D123),ISNUMBER(E123)),D123*E123,"")</f>
        <v/>
      </c>
      <c r="G123" s="31" t="n"/>
      <c r="H123" s="32">
        <f>IF(C123="SELL",F123-SUMIFS($F$2:$F$1000,$B$2:$B$1000,B123,$C$2:$C$1000,"&lt;&gt;SELL",$A$2:$A$1000,"&gt;"&amp;_xlfn.MAXIFS($A$2:$A$1000,$B$2:$B$1000,B123,$C$2:$C$1000,"SELL",$A$2:$A$1000,"&lt;"&amp;A123),$A$2:$A$1000,"&lt;="&amp;A123),"")</f>
        <v/>
      </c>
    </row>
    <row r="124">
      <c r="A124" s="29" t="n"/>
      <c r="B124" s="30" t="n"/>
      <c r="C124" s="30" t="n"/>
      <c r="D124" s="31" t="n"/>
      <c r="E124" s="30" t="n"/>
      <c r="F124" s="32">
        <f>IF(AND(ISNUMBER(D124),ISNUMBER(E124)),D124*E124,"")</f>
        <v/>
      </c>
      <c r="G124" s="31" t="n"/>
      <c r="H124" s="32">
        <f>IF(C124="SELL",F124-SUMIFS($F$2:$F$1000,$B$2:$B$1000,B124,$C$2:$C$1000,"&lt;&gt;SELL",$A$2:$A$1000,"&gt;"&amp;_xlfn.MAXIFS($A$2:$A$1000,$B$2:$B$1000,B124,$C$2:$C$1000,"SELL",$A$2:$A$1000,"&lt;"&amp;A124),$A$2:$A$1000,"&lt;="&amp;A124),"")</f>
        <v/>
      </c>
    </row>
    <row r="125">
      <c r="A125" s="29" t="n"/>
      <c r="B125" s="30" t="n"/>
      <c r="C125" s="30" t="n"/>
      <c r="D125" s="31" t="n"/>
      <c r="E125" s="30" t="n"/>
      <c r="F125" s="32">
        <f>IF(AND(ISNUMBER(D125),ISNUMBER(E125)),D125*E125,"")</f>
        <v/>
      </c>
      <c r="G125" s="31" t="n"/>
      <c r="H125" s="32">
        <f>IF(C125="SELL",F125-SUMIFS($F$2:$F$1000,$B$2:$B$1000,B125,$C$2:$C$1000,"&lt;&gt;SELL",$A$2:$A$1000,"&gt;"&amp;_xlfn.MAXIFS($A$2:$A$1000,$B$2:$B$1000,B125,$C$2:$C$1000,"SELL",$A$2:$A$1000,"&lt;"&amp;A125),$A$2:$A$1000,"&lt;="&amp;A125),"")</f>
        <v/>
      </c>
    </row>
    <row r="126">
      <c r="A126" s="29" t="n"/>
      <c r="B126" s="30" t="n"/>
      <c r="C126" s="30" t="n"/>
      <c r="D126" s="31" t="n"/>
      <c r="E126" s="30" t="n"/>
      <c r="F126" s="32">
        <f>IF(AND(ISNUMBER(D126),ISNUMBER(E126)),D126*E126,"")</f>
        <v/>
      </c>
      <c r="G126" s="31" t="n"/>
      <c r="H126" s="32">
        <f>IF(C126="SELL",F126-SUMIFS($F$2:$F$1000,$B$2:$B$1000,B126,$C$2:$C$1000,"&lt;&gt;SELL",$A$2:$A$1000,"&gt;"&amp;_xlfn.MAXIFS($A$2:$A$1000,$B$2:$B$1000,B126,$C$2:$C$1000,"SELL",$A$2:$A$1000,"&lt;"&amp;A126),$A$2:$A$1000,"&lt;="&amp;A126),"")</f>
        <v/>
      </c>
    </row>
    <row r="127">
      <c r="A127" s="29" t="n"/>
      <c r="B127" s="30" t="n"/>
      <c r="C127" s="30" t="n"/>
      <c r="D127" s="31" t="n"/>
      <c r="E127" s="30" t="n"/>
      <c r="F127" s="32">
        <f>IF(AND(ISNUMBER(D127),ISNUMBER(E127)),D127*E127,"")</f>
        <v/>
      </c>
      <c r="G127" s="31" t="n"/>
      <c r="H127" s="32">
        <f>IF(C127="SELL",F127-SUMIFS($F$2:$F$1000,$B$2:$B$1000,B127,$C$2:$C$1000,"&lt;&gt;SELL",$A$2:$A$1000,"&gt;"&amp;_xlfn.MAXIFS($A$2:$A$1000,$B$2:$B$1000,B127,$C$2:$C$1000,"SELL",$A$2:$A$1000,"&lt;"&amp;A127),$A$2:$A$1000,"&lt;="&amp;A127),"")</f>
        <v/>
      </c>
    </row>
    <row r="128">
      <c r="A128" s="29" t="n"/>
      <c r="B128" s="30" t="n"/>
      <c r="C128" s="30" t="n"/>
      <c r="D128" s="31" t="n"/>
      <c r="E128" s="30" t="n"/>
      <c r="F128" s="32">
        <f>IF(AND(ISNUMBER(D128),ISNUMBER(E128)),D128*E128,"")</f>
        <v/>
      </c>
      <c r="G128" s="31" t="n"/>
      <c r="H128" s="32">
        <f>IF(C128="SELL",F128-SUMIFS($F$2:$F$1000,$B$2:$B$1000,B128,$C$2:$C$1000,"&lt;&gt;SELL",$A$2:$A$1000,"&gt;"&amp;_xlfn.MAXIFS($A$2:$A$1000,$B$2:$B$1000,B128,$C$2:$C$1000,"SELL",$A$2:$A$1000,"&lt;"&amp;A128),$A$2:$A$1000,"&lt;="&amp;A128),"")</f>
        <v/>
      </c>
    </row>
    <row r="129">
      <c r="A129" s="29" t="n"/>
      <c r="B129" s="30" t="n"/>
      <c r="C129" s="30" t="n"/>
      <c r="D129" s="31" t="n"/>
      <c r="E129" s="30" t="n"/>
      <c r="F129" s="32">
        <f>IF(AND(ISNUMBER(D129),ISNUMBER(E129)),D129*E129,"")</f>
        <v/>
      </c>
      <c r="G129" s="31" t="n"/>
      <c r="H129" s="32">
        <f>IF(C129="SELL",F129-SUMIFS($F$2:$F$1000,$B$2:$B$1000,B129,$C$2:$C$1000,"&lt;&gt;SELL",$A$2:$A$1000,"&gt;"&amp;_xlfn.MAXIFS($A$2:$A$1000,$B$2:$B$1000,B129,$C$2:$C$1000,"SELL",$A$2:$A$1000,"&lt;"&amp;A129),$A$2:$A$1000,"&lt;="&amp;A129),"")</f>
        <v/>
      </c>
    </row>
    <row r="130">
      <c r="A130" s="29" t="n"/>
      <c r="B130" s="30" t="n"/>
      <c r="C130" s="30" t="n"/>
      <c r="D130" s="31" t="n"/>
      <c r="E130" s="30" t="n"/>
      <c r="F130" s="32">
        <f>IF(AND(ISNUMBER(D130),ISNUMBER(E130)),D130*E130,"")</f>
        <v/>
      </c>
      <c r="G130" s="31" t="n"/>
      <c r="H130" s="32">
        <f>IF(C130="SELL",F130-SUMIFS($F$2:$F$1000,$B$2:$B$1000,B130,$C$2:$C$1000,"&lt;&gt;SELL",$A$2:$A$1000,"&gt;"&amp;_xlfn.MAXIFS($A$2:$A$1000,$B$2:$B$1000,B130,$C$2:$C$1000,"SELL",$A$2:$A$1000,"&lt;"&amp;A130),$A$2:$A$1000,"&lt;="&amp;A130),"")</f>
        <v/>
      </c>
    </row>
    <row r="131">
      <c r="A131" s="29" t="n"/>
      <c r="B131" s="30" t="n"/>
      <c r="C131" s="30" t="n"/>
      <c r="D131" s="31" t="n"/>
      <c r="E131" s="30" t="n"/>
      <c r="F131" s="32">
        <f>IF(AND(ISNUMBER(D131),ISNUMBER(E131)),D131*E131,"")</f>
        <v/>
      </c>
      <c r="G131" s="31" t="n"/>
      <c r="H131" s="32">
        <f>IF(C131="SELL",F131-SUMIFS($F$2:$F$1000,$B$2:$B$1000,B131,$C$2:$C$1000,"&lt;&gt;SELL",$A$2:$A$1000,"&gt;"&amp;_xlfn.MAXIFS($A$2:$A$1000,$B$2:$B$1000,B131,$C$2:$C$1000,"SELL",$A$2:$A$1000,"&lt;"&amp;A131),$A$2:$A$1000,"&lt;="&amp;A131),"")</f>
        <v/>
      </c>
    </row>
    <row r="132">
      <c r="A132" s="29" t="n"/>
      <c r="B132" s="30" t="n"/>
      <c r="C132" s="30" t="n"/>
      <c r="D132" s="31" t="n"/>
      <c r="E132" s="30" t="n"/>
      <c r="F132" s="32">
        <f>IF(AND(ISNUMBER(D132),ISNUMBER(E132)),D132*E132,"")</f>
        <v/>
      </c>
      <c r="G132" s="31" t="n"/>
      <c r="H132" s="32">
        <f>IF(C132="SELL",F132-SUMIFS($F$2:$F$1000,$B$2:$B$1000,B132,$C$2:$C$1000,"&lt;&gt;SELL",$A$2:$A$1000,"&gt;"&amp;_xlfn.MAXIFS($A$2:$A$1000,$B$2:$B$1000,B132,$C$2:$C$1000,"SELL",$A$2:$A$1000,"&lt;"&amp;A132),$A$2:$A$1000,"&lt;="&amp;A132),"")</f>
        <v/>
      </c>
    </row>
    <row r="133">
      <c r="A133" s="29" t="n"/>
      <c r="B133" s="30" t="n"/>
      <c r="C133" s="30" t="n"/>
      <c r="D133" s="31" t="n"/>
      <c r="E133" s="30" t="n"/>
      <c r="F133" s="32">
        <f>IF(AND(ISNUMBER(D133),ISNUMBER(E133)),D133*E133,"")</f>
        <v/>
      </c>
      <c r="G133" s="31" t="n"/>
      <c r="H133" s="32">
        <f>IF(C133="SELL",F133-SUMIFS($F$2:$F$1000,$B$2:$B$1000,B133,$C$2:$C$1000,"&lt;&gt;SELL",$A$2:$A$1000,"&gt;"&amp;_xlfn.MAXIFS($A$2:$A$1000,$B$2:$B$1000,B133,$C$2:$C$1000,"SELL",$A$2:$A$1000,"&lt;"&amp;A133),$A$2:$A$1000,"&lt;="&amp;A133),"")</f>
        <v/>
      </c>
    </row>
    <row r="134">
      <c r="A134" s="29" t="n"/>
      <c r="B134" s="30" t="n"/>
      <c r="C134" s="30" t="n"/>
      <c r="D134" s="31" t="n"/>
      <c r="E134" s="30" t="n"/>
      <c r="F134" s="32">
        <f>IF(AND(ISNUMBER(D134),ISNUMBER(E134)),D134*E134,"")</f>
        <v/>
      </c>
      <c r="G134" s="31" t="n"/>
      <c r="H134" s="32">
        <f>IF(C134="SELL",F134-SUMIFS($F$2:$F$1000,$B$2:$B$1000,B134,$C$2:$C$1000,"&lt;&gt;SELL",$A$2:$A$1000,"&gt;"&amp;_xlfn.MAXIFS($A$2:$A$1000,$B$2:$B$1000,B134,$C$2:$C$1000,"SELL",$A$2:$A$1000,"&lt;"&amp;A134),$A$2:$A$1000,"&lt;="&amp;A134),"")</f>
        <v/>
      </c>
    </row>
    <row r="135">
      <c r="A135" s="29" t="n"/>
      <c r="B135" s="30" t="n"/>
      <c r="C135" s="30" t="n"/>
      <c r="D135" s="31" t="n"/>
      <c r="E135" s="30" t="n"/>
      <c r="F135" s="32">
        <f>IF(AND(ISNUMBER(D135),ISNUMBER(E135)),D135*E135,"")</f>
        <v/>
      </c>
      <c r="G135" s="31" t="n"/>
      <c r="H135" s="32">
        <f>IF(C135="SELL",F135-SUMIFS($F$2:$F$1000,$B$2:$B$1000,B135,$C$2:$C$1000,"&lt;&gt;SELL",$A$2:$A$1000,"&gt;"&amp;_xlfn.MAXIFS($A$2:$A$1000,$B$2:$B$1000,B135,$C$2:$C$1000,"SELL",$A$2:$A$1000,"&lt;"&amp;A135),$A$2:$A$1000,"&lt;="&amp;A135),"")</f>
        <v/>
      </c>
    </row>
    <row r="136">
      <c r="A136" s="29" t="n"/>
      <c r="B136" s="30" t="n"/>
      <c r="C136" s="30" t="n"/>
      <c r="D136" s="31" t="n"/>
      <c r="E136" s="30" t="n"/>
      <c r="F136" s="32">
        <f>IF(AND(ISNUMBER(D136),ISNUMBER(E136)),D136*E136,"")</f>
        <v/>
      </c>
      <c r="G136" s="31" t="n"/>
      <c r="H136" s="32">
        <f>IF(C136="SELL",F136-SUMIFS($F$2:$F$1000,$B$2:$B$1000,B136,$C$2:$C$1000,"&lt;&gt;SELL",$A$2:$A$1000,"&gt;"&amp;_xlfn.MAXIFS($A$2:$A$1000,$B$2:$B$1000,B136,$C$2:$C$1000,"SELL",$A$2:$A$1000,"&lt;"&amp;A136),$A$2:$A$1000,"&lt;="&amp;A136),"")</f>
        <v/>
      </c>
    </row>
    <row r="137">
      <c r="A137" s="29" t="n"/>
      <c r="B137" s="30" t="n"/>
      <c r="C137" s="30" t="n"/>
      <c r="D137" s="31" t="n"/>
      <c r="E137" s="30" t="n"/>
      <c r="F137" s="32">
        <f>IF(AND(ISNUMBER(D137),ISNUMBER(E137)),D137*E137,"")</f>
        <v/>
      </c>
      <c r="G137" s="31" t="n"/>
      <c r="H137" s="32">
        <f>IF(C137="SELL",F137-SUMIFS($F$2:$F$1000,$B$2:$B$1000,B137,$C$2:$C$1000,"&lt;&gt;SELL",$A$2:$A$1000,"&gt;"&amp;_xlfn.MAXIFS($A$2:$A$1000,$B$2:$B$1000,B137,$C$2:$C$1000,"SELL",$A$2:$A$1000,"&lt;"&amp;A137),$A$2:$A$1000,"&lt;="&amp;A137),"")</f>
        <v/>
      </c>
    </row>
    <row r="138">
      <c r="A138" s="29" t="n"/>
      <c r="B138" s="30" t="n"/>
      <c r="C138" s="30" t="n"/>
      <c r="D138" s="31" t="n"/>
      <c r="E138" s="30" t="n"/>
      <c r="F138" s="32">
        <f>IF(AND(ISNUMBER(D138),ISNUMBER(E138)),D138*E138,"")</f>
        <v/>
      </c>
      <c r="G138" s="31" t="n"/>
      <c r="H138" s="32">
        <f>IF(C138="SELL",F138-SUMIFS($F$2:$F$1000,$B$2:$B$1000,B138,$C$2:$C$1000,"&lt;&gt;SELL",$A$2:$A$1000,"&gt;"&amp;_xlfn.MAXIFS($A$2:$A$1000,$B$2:$B$1000,B138,$C$2:$C$1000,"SELL",$A$2:$A$1000,"&lt;"&amp;A138),$A$2:$A$1000,"&lt;="&amp;A138),"")</f>
        <v/>
      </c>
    </row>
    <row r="139">
      <c r="A139" s="29" t="n"/>
      <c r="B139" s="30" t="n"/>
      <c r="C139" s="30" t="n"/>
      <c r="D139" s="31" t="n"/>
      <c r="E139" s="30" t="n"/>
      <c r="F139" s="32">
        <f>IF(AND(ISNUMBER(D139),ISNUMBER(E139)),D139*E139,"")</f>
        <v/>
      </c>
      <c r="G139" s="31" t="n"/>
      <c r="H139" s="32">
        <f>IF(C139="SELL",F139-SUMIFS($F$2:$F$1000,$B$2:$B$1000,B139,$C$2:$C$1000,"&lt;&gt;SELL",$A$2:$A$1000,"&gt;"&amp;_xlfn.MAXIFS($A$2:$A$1000,$B$2:$B$1000,B139,$C$2:$C$1000,"SELL",$A$2:$A$1000,"&lt;"&amp;A139),$A$2:$A$1000,"&lt;="&amp;A139),"")</f>
        <v/>
      </c>
    </row>
    <row r="140">
      <c r="A140" s="29" t="n"/>
      <c r="B140" s="30" t="n"/>
      <c r="C140" s="30" t="n"/>
      <c r="D140" s="31" t="n"/>
      <c r="E140" s="30" t="n"/>
      <c r="F140" s="32">
        <f>IF(AND(ISNUMBER(D140),ISNUMBER(E140)),D140*E140,"")</f>
        <v/>
      </c>
      <c r="G140" s="31" t="n"/>
      <c r="H140" s="32">
        <f>IF(C140="SELL",F140-SUMIFS($F$2:$F$1000,$B$2:$B$1000,B140,$C$2:$C$1000,"&lt;&gt;SELL",$A$2:$A$1000,"&gt;"&amp;_xlfn.MAXIFS($A$2:$A$1000,$B$2:$B$1000,B140,$C$2:$C$1000,"SELL",$A$2:$A$1000,"&lt;"&amp;A140),$A$2:$A$1000,"&lt;="&amp;A140),"")</f>
        <v/>
      </c>
    </row>
    <row r="141">
      <c r="A141" s="29" t="n"/>
      <c r="B141" s="30" t="n"/>
      <c r="C141" s="30" t="n"/>
      <c r="D141" s="31" t="n"/>
      <c r="E141" s="30" t="n"/>
      <c r="F141" s="32">
        <f>IF(AND(ISNUMBER(D141),ISNUMBER(E141)),D141*E141,"")</f>
        <v/>
      </c>
      <c r="G141" s="31" t="n"/>
      <c r="H141" s="32">
        <f>IF(C141="SELL",F141-SUMIFS($F$2:$F$1000,$B$2:$B$1000,B141,$C$2:$C$1000,"&lt;&gt;SELL",$A$2:$A$1000,"&gt;"&amp;_xlfn.MAXIFS($A$2:$A$1000,$B$2:$B$1000,B141,$C$2:$C$1000,"SELL",$A$2:$A$1000,"&lt;"&amp;A141),$A$2:$A$1000,"&lt;="&amp;A141),"")</f>
        <v/>
      </c>
    </row>
    <row r="142">
      <c r="A142" s="29" t="n"/>
      <c r="B142" s="30" t="n"/>
      <c r="C142" s="30" t="n"/>
      <c r="D142" s="31" t="n"/>
      <c r="E142" s="30" t="n"/>
      <c r="F142" s="32">
        <f>IF(AND(ISNUMBER(D142),ISNUMBER(E142)),D142*E142,"")</f>
        <v/>
      </c>
      <c r="G142" s="31" t="n"/>
      <c r="H142" s="32">
        <f>IF(C142="SELL",F142-SUMIFS($F$2:$F$1000,$B$2:$B$1000,B142,$C$2:$C$1000,"&lt;&gt;SELL",$A$2:$A$1000,"&gt;"&amp;_xlfn.MAXIFS($A$2:$A$1000,$B$2:$B$1000,B142,$C$2:$C$1000,"SELL",$A$2:$A$1000,"&lt;"&amp;A142),$A$2:$A$1000,"&lt;="&amp;A142),"")</f>
        <v/>
      </c>
    </row>
    <row r="143">
      <c r="A143" s="29" t="n"/>
      <c r="B143" s="30" t="n"/>
      <c r="C143" s="30" t="n"/>
      <c r="D143" s="31" t="n"/>
      <c r="E143" s="30" t="n"/>
      <c r="F143" s="32">
        <f>IF(AND(ISNUMBER(D143),ISNUMBER(E143)),D143*E143,"")</f>
        <v/>
      </c>
      <c r="G143" s="31" t="n"/>
      <c r="H143" s="32">
        <f>IF(C143="SELL",F143-SUMIFS($F$2:$F$1000,$B$2:$B$1000,B143,$C$2:$C$1000,"&lt;&gt;SELL",$A$2:$A$1000,"&gt;"&amp;_xlfn.MAXIFS($A$2:$A$1000,$B$2:$B$1000,B143,$C$2:$C$1000,"SELL",$A$2:$A$1000,"&lt;"&amp;A143),$A$2:$A$1000,"&lt;="&amp;A143),"")</f>
        <v/>
      </c>
    </row>
    <row r="144">
      <c r="A144" s="29" t="n"/>
      <c r="B144" s="30" t="n"/>
      <c r="C144" s="30" t="n"/>
      <c r="D144" s="31" t="n"/>
      <c r="E144" s="30" t="n"/>
      <c r="F144" s="32">
        <f>IF(AND(ISNUMBER(D144),ISNUMBER(E144)),D144*E144,"")</f>
        <v/>
      </c>
      <c r="G144" s="31" t="n"/>
      <c r="H144" s="32">
        <f>IF(C144="SELL",F144-SUMIFS($F$2:$F$1000,$B$2:$B$1000,B144,$C$2:$C$1000,"&lt;&gt;SELL",$A$2:$A$1000,"&gt;"&amp;_xlfn.MAXIFS($A$2:$A$1000,$B$2:$B$1000,B144,$C$2:$C$1000,"SELL",$A$2:$A$1000,"&lt;"&amp;A144),$A$2:$A$1000,"&lt;="&amp;A144),"")</f>
        <v/>
      </c>
    </row>
    <row r="145">
      <c r="A145" s="29" t="n"/>
      <c r="B145" s="30" t="n"/>
      <c r="C145" s="30" t="n"/>
      <c r="D145" s="31" t="n"/>
      <c r="E145" s="30" t="n"/>
      <c r="F145" s="32">
        <f>IF(AND(ISNUMBER(D145),ISNUMBER(E145)),D145*E145,"")</f>
        <v/>
      </c>
      <c r="G145" s="31" t="n"/>
      <c r="H145" s="32">
        <f>IF(C145="SELL",F145-SUMIFS($F$2:$F$1000,$B$2:$B$1000,B145,$C$2:$C$1000,"&lt;&gt;SELL",$A$2:$A$1000,"&gt;"&amp;_xlfn.MAXIFS($A$2:$A$1000,$B$2:$B$1000,B145,$C$2:$C$1000,"SELL",$A$2:$A$1000,"&lt;"&amp;A145),$A$2:$A$1000,"&lt;="&amp;A145),"")</f>
        <v/>
      </c>
    </row>
    <row r="146">
      <c r="A146" s="29" t="n"/>
      <c r="B146" s="30" t="n"/>
      <c r="C146" s="30" t="n"/>
      <c r="D146" s="31" t="n"/>
      <c r="E146" s="30" t="n"/>
      <c r="F146" s="32">
        <f>IF(AND(ISNUMBER(D146),ISNUMBER(E146)),D146*E146,"")</f>
        <v/>
      </c>
      <c r="G146" s="31" t="n"/>
      <c r="H146" s="32">
        <f>IF(C146="SELL",F146-SUMIFS($F$2:$F$1000,$B$2:$B$1000,B146,$C$2:$C$1000,"&lt;&gt;SELL",$A$2:$A$1000,"&gt;"&amp;_xlfn.MAXIFS($A$2:$A$1000,$B$2:$B$1000,B146,$C$2:$C$1000,"SELL",$A$2:$A$1000,"&lt;"&amp;A146),$A$2:$A$1000,"&lt;="&amp;A146),"")</f>
        <v/>
      </c>
    </row>
    <row r="147">
      <c r="A147" s="29" t="n"/>
      <c r="B147" s="30" t="n"/>
      <c r="C147" s="30" t="n"/>
      <c r="D147" s="31" t="n"/>
      <c r="E147" s="30" t="n"/>
      <c r="F147" s="32">
        <f>IF(AND(ISNUMBER(D147),ISNUMBER(E147)),D147*E147,"")</f>
        <v/>
      </c>
      <c r="G147" s="31" t="n"/>
      <c r="H147" s="32">
        <f>IF(C147="SELL",F147-SUMIFS($F$2:$F$1000,$B$2:$B$1000,B147,$C$2:$C$1000,"&lt;&gt;SELL",$A$2:$A$1000,"&gt;"&amp;_xlfn.MAXIFS($A$2:$A$1000,$B$2:$B$1000,B147,$C$2:$C$1000,"SELL",$A$2:$A$1000,"&lt;"&amp;A147),$A$2:$A$1000,"&lt;="&amp;A147),"")</f>
        <v/>
      </c>
    </row>
    <row r="148">
      <c r="A148" s="29" t="n"/>
      <c r="B148" s="30" t="n"/>
      <c r="C148" s="30" t="n"/>
      <c r="D148" s="31" t="n"/>
      <c r="E148" s="30" t="n"/>
      <c r="F148" s="32">
        <f>IF(AND(ISNUMBER(D148),ISNUMBER(E148)),D148*E148,"")</f>
        <v/>
      </c>
      <c r="G148" s="31" t="n"/>
      <c r="H148" s="32">
        <f>IF(C148="SELL",F148-SUMIFS($F$2:$F$1000,$B$2:$B$1000,B148,$C$2:$C$1000,"&lt;&gt;SELL",$A$2:$A$1000,"&gt;"&amp;_xlfn.MAXIFS($A$2:$A$1000,$B$2:$B$1000,B148,$C$2:$C$1000,"SELL",$A$2:$A$1000,"&lt;"&amp;A148),$A$2:$A$1000,"&lt;="&amp;A148),"")</f>
        <v/>
      </c>
    </row>
    <row r="149">
      <c r="A149" s="29" t="n"/>
      <c r="B149" s="30" t="n"/>
      <c r="C149" s="30" t="n"/>
      <c r="D149" s="31" t="n"/>
      <c r="E149" s="30" t="n"/>
      <c r="F149" s="32">
        <f>IF(AND(ISNUMBER(D149),ISNUMBER(E149)),D149*E149,"")</f>
        <v/>
      </c>
      <c r="G149" s="31" t="n"/>
      <c r="H149" s="32">
        <f>IF(C149="SELL",F149-SUMIFS($F$2:$F$1000,$B$2:$B$1000,B149,$C$2:$C$1000,"&lt;&gt;SELL",$A$2:$A$1000,"&gt;"&amp;_xlfn.MAXIFS($A$2:$A$1000,$B$2:$B$1000,B149,$C$2:$C$1000,"SELL",$A$2:$A$1000,"&lt;"&amp;A149),$A$2:$A$1000,"&lt;="&amp;A149),"")</f>
        <v/>
      </c>
    </row>
    <row r="150">
      <c r="A150" s="29" t="n"/>
      <c r="B150" s="30" t="n"/>
      <c r="C150" s="30" t="n"/>
      <c r="D150" s="31" t="n"/>
      <c r="E150" s="30" t="n"/>
      <c r="F150" s="32">
        <f>IF(AND(ISNUMBER(D150),ISNUMBER(E150)),D150*E150,"")</f>
        <v/>
      </c>
      <c r="G150" s="31" t="n"/>
      <c r="H150" s="32">
        <f>IF(C150="SELL",F150-SUMIFS($F$2:$F$1000,$B$2:$B$1000,B150,$C$2:$C$1000,"&lt;&gt;SELL",$A$2:$A$1000,"&gt;"&amp;_xlfn.MAXIFS($A$2:$A$1000,$B$2:$B$1000,B150,$C$2:$C$1000,"SELL",$A$2:$A$1000,"&lt;"&amp;A150),$A$2:$A$1000,"&lt;="&amp;A150),"")</f>
        <v/>
      </c>
    </row>
    <row r="151">
      <c r="A151" s="29" t="n"/>
      <c r="B151" s="30" t="n"/>
      <c r="C151" s="30" t="n"/>
      <c r="D151" s="31" t="n"/>
      <c r="E151" s="30" t="n"/>
      <c r="F151" s="32">
        <f>IF(AND(ISNUMBER(D151),ISNUMBER(E151)),D151*E151,"")</f>
        <v/>
      </c>
      <c r="G151" s="31" t="n"/>
      <c r="H151" s="32">
        <f>IF(C151="SELL",F151-SUMIFS($F$2:$F$1000,$B$2:$B$1000,B151,$C$2:$C$1000,"&lt;&gt;SELL",$A$2:$A$1000,"&gt;"&amp;_xlfn.MAXIFS($A$2:$A$1000,$B$2:$B$1000,B151,$C$2:$C$1000,"SELL",$A$2:$A$1000,"&lt;"&amp;A151),$A$2:$A$1000,"&lt;="&amp;A151),"")</f>
        <v/>
      </c>
    </row>
    <row r="152">
      <c r="A152" s="29" t="n"/>
      <c r="B152" s="30" t="n"/>
      <c r="C152" s="30" t="n"/>
      <c r="D152" s="31" t="n"/>
      <c r="E152" s="30" t="n"/>
      <c r="F152" s="32">
        <f>IF(AND(ISNUMBER(D152),ISNUMBER(E152)),D152*E152,"")</f>
        <v/>
      </c>
      <c r="G152" s="31" t="n"/>
      <c r="H152" s="32">
        <f>IF(C152="SELL",F152-SUMIFS($F$2:$F$1000,$B$2:$B$1000,B152,$C$2:$C$1000,"&lt;&gt;SELL",$A$2:$A$1000,"&gt;"&amp;_xlfn.MAXIFS($A$2:$A$1000,$B$2:$B$1000,B152,$C$2:$C$1000,"SELL",$A$2:$A$1000,"&lt;"&amp;A152),$A$2:$A$1000,"&lt;="&amp;A152),"")</f>
        <v/>
      </c>
    </row>
    <row r="153">
      <c r="A153" s="29" t="n"/>
      <c r="B153" s="30" t="n"/>
      <c r="C153" s="30" t="n"/>
      <c r="D153" s="31" t="n"/>
      <c r="E153" s="30" t="n"/>
      <c r="F153" s="32">
        <f>IF(AND(ISNUMBER(D153),ISNUMBER(E153)),D153*E153,"")</f>
        <v/>
      </c>
      <c r="G153" s="31" t="n"/>
      <c r="H153" s="32">
        <f>IF(C153="SELL",F153-SUMIFS($F$2:$F$1000,$B$2:$B$1000,B153,$C$2:$C$1000,"&lt;&gt;SELL",$A$2:$A$1000,"&gt;"&amp;_xlfn.MAXIFS($A$2:$A$1000,$B$2:$B$1000,B153,$C$2:$C$1000,"SELL",$A$2:$A$1000,"&lt;"&amp;A153),$A$2:$A$1000,"&lt;="&amp;A153),"")</f>
        <v/>
      </c>
    </row>
    <row r="154">
      <c r="A154" s="29" t="n"/>
      <c r="B154" s="30" t="n"/>
      <c r="C154" s="30" t="n"/>
      <c r="D154" s="31" t="n"/>
      <c r="E154" s="30" t="n"/>
      <c r="F154" s="32">
        <f>IF(AND(ISNUMBER(D154),ISNUMBER(E154)),D154*E154,"")</f>
        <v/>
      </c>
      <c r="G154" s="31" t="n"/>
      <c r="H154" s="32">
        <f>IF(C154="SELL",F154-SUMIFS($F$2:$F$1000,$B$2:$B$1000,B154,$C$2:$C$1000,"&lt;&gt;SELL",$A$2:$A$1000,"&gt;"&amp;_xlfn.MAXIFS($A$2:$A$1000,$B$2:$B$1000,B154,$C$2:$C$1000,"SELL",$A$2:$A$1000,"&lt;"&amp;A154),$A$2:$A$1000,"&lt;="&amp;A154),"")</f>
        <v/>
      </c>
    </row>
    <row r="155">
      <c r="A155" s="29" t="n"/>
      <c r="B155" s="30" t="n"/>
      <c r="C155" s="30" t="n"/>
      <c r="D155" s="31" t="n"/>
      <c r="E155" s="30" t="n"/>
      <c r="F155" s="32">
        <f>IF(AND(ISNUMBER(D155),ISNUMBER(E155)),D155*E155,"")</f>
        <v/>
      </c>
      <c r="G155" s="31" t="n"/>
      <c r="H155" s="32">
        <f>IF(C155="SELL",F155-SUMIFS($F$2:$F$1000,$B$2:$B$1000,B155,$C$2:$C$1000,"&lt;&gt;SELL",$A$2:$A$1000,"&gt;"&amp;_xlfn.MAXIFS($A$2:$A$1000,$B$2:$B$1000,B155,$C$2:$C$1000,"SELL",$A$2:$A$1000,"&lt;"&amp;A155),$A$2:$A$1000,"&lt;="&amp;A155),"")</f>
        <v/>
      </c>
    </row>
    <row r="156">
      <c r="A156" s="29" t="n"/>
      <c r="B156" s="30" t="n"/>
      <c r="C156" s="30" t="n"/>
      <c r="D156" s="31" t="n"/>
      <c r="E156" s="30" t="n"/>
      <c r="F156" s="32">
        <f>IF(AND(ISNUMBER(D156),ISNUMBER(E156)),D156*E156,"")</f>
        <v/>
      </c>
      <c r="G156" s="31" t="n"/>
      <c r="H156" s="32">
        <f>IF(C156="SELL",F156-SUMIFS($F$2:$F$1000,$B$2:$B$1000,B156,$C$2:$C$1000,"&lt;&gt;SELL",$A$2:$A$1000,"&gt;"&amp;_xlfn.MAXIFS($A$2:$A$1000,$B$2:$B$1000,B156,$C$2:$C$1000,"SELL",$A$2:$A$1000,"&lt;"&amp;A156),$A$2:$A$1000,"&lt;="&amp;A156),"")</f>
        <v/>
      </c>
    </row>
    <row r="157">
      <c r="A157" s="29" t="n"/>
      <c r="B157" s="30" t="n"/>
      <c r="C157" s="30" t="n"/>
      <c r="D157" s="31" t="n"/>
      <c r="E157" s="30" t="n"/>
      <c r="F157" s="32">
        <f>IF(AND(ISNUMBER(D157),ISNUMBER(E157)),D157*E157,"")</f>
        <v/>
      </c>
      <c r="G157" s="31" t="n"/>
      <c r="H157" s="32">
        <f>IF(C157="SELL",F157-SUMIFS($F$2:$F$1000,$B$2:$B$1000,B157,$C$2:$C$1000,"&lt;&gt;SELL",$A$2:$A$1000,"&gt;"&amp;_xlfn.MAXIFS($A$2:$A$1000,$B$2:$B$1000,B157,$C$2:$C$1000,"SELL",$A$2:$A$1000,"&lt;"&amp;A157),$A$2:$A$1000,"&lt;="&amp;A157),"")</f>
        <v/>
      </c>
    </row>
    <row r="158">
      <c r="A158" s="29" t="n"/>
      <c r="B158" s="30" t="n"/>
      <c r="C158" s="30" t="n"/>
      <c r="D158" s="31" t="n"/>
      <c r="E158" s="30" t="n"/>
      <c r="F158" s="32">
        <f>IF(AND(ISNUMBER(D158),ISNUMBER(E158)),D158*E158,"")</f>
        <v/>
      </c>
      <c r="G158" s="31" t="n"/>
      <c r="H158" s="32">
        <f>IF(C158="SELL",F158-SUMIFS($F$2:$F$1000,$B$2:$B$1000,B158,$C$2:$C$1000,"&lt;&gt;SELL",$A$2:$A$1000,"&gt;"&amp;_xlfn.MAXIFS($A$2:$A$1000,$B$2:$B$1000,B158,$C$2:$C$1000,"SELL",$A$2:$A$1000,"&lt;"&amp;A158),$A$2:$A$1000,"&lt;="&amp;A158),"")</f>
        <v/>
      </c>
    </row>
    <row r="159">
      <c r="A159" s="29" t="n"/>
      <c r="B159" s="30" t="n"/>
      <c r="C159" s="30" t="n"/>
      <c r="D159" s="31" t="n"/>
      <c r="E159" s="30" t="n"/>
      <c r="F159" s="32">
        <f>IF(AND(ISNUMBER(D159),ISNUMBER(E159)),D159*E159,"")</f>
        <v/>
      </c>
      <c r="G159" s="31" t="n"/>
      <c r="H159" s="32">
        <f>IF(C159="SELL",F159-SUMIFS($F$2:$F$1000,$B$2:$B$1000,B159,$C$2:$C$1000,"&lt;&gt;SELL",$A$2:$A$1000,"&gt;"&amp;_xlfn.MAXIFS($A$2:$A$1000,$B$2:$B$1000,B159,$C$2:$C$1000,"SELL",$A$2:$A$1000,"&lt;"&amp;A159),$A$2:$A$1000,"&lt;="&amp;A159),"")</f>
        <v/>
      </c>
    </row>
    <row r="160">
      <c r="A160" s="29" t="n"/>
      <c r="B160" s="30" t="n"/>
      <c r="C160" s="30" t="n"/>
      <c r="D160" s="31" t="n"/>
      <c r="E160" s="30" t="n"/>
      <c r="F160" s="32">
        <f>IF(AND(ISNUMBER(D160),ISNUMBER(E160)),D160*E160,"")</f>
        <v/>
      </c>
      <c r="G160" s="31" t="n"/>
      <c r="H160" s="32">
        <f>IF(C160="SELL",F160-SUMIFS($F$2:$F$1000,$B$2:$B$1000,B160,$C$2:$C$1000,"&lt;&gt;SELL",$A$2:$A$1000,"&gt;"&amp;_xlfn.MAXIFS($A$2:$A$1000,$B$2:$B$1000,B160,$C$2:$C$1000,"SELL",$A$2:$A$1000,"&lt;"&amp;A160),$A$2:$A$1000,"&lt;="&amp;A160),"")</f>
        <v/>
      </c>
    </row>
    <row r="161">
      <c r="A161" s="29" t="n"/>
      <c r="B161" s="30" t="n"/>
      <c r="C161" s="30" t="n"/>
      <c r="D161" s="31" t="n"/>
      <c r="E161" s="30" t="n"/>
      <c r="F161" s="32">
        <f>IF(AND(ISNUMBER(D161),ISNUMBER(E161)),D161*E161,"")</f>
        <v/>
      </c>
      <c r="G161" s="31" t="n"/>
      <c r="H161" s="32">
        <f>IF(C161="SELL",F161-SUMIFS($F$2:$F$1000,$B$2:$B$1000,B161,$C$2:$C$1000,"&lt;&gt;SELL",$A$2:$A$1000,"&gt;"&amp;_xlfn.MAXIFS($A$2:$A$1000,$B$2:$B$1000,B161,$C$2:$C$1000,"SELL",$A$2:$A$1000,"&lt;"&amp;A161),$A$2:$A$1000,"&lt;="&amp;A161),"")</f>
        <v/>
      </c>
    </row>
    <row r="162">
      <c r="A162" s="29" t="n"/>
      <c r="B162" s="30" t="n"/>
      <c r="C162" s="30" t="n"/>
      <c r="D162" s="31" t="n"/>
      <c r="E162" s="30" t="n"/>
      <c r="F162" s="32">
        <f>IF(AND(ISNUMBER(D162),ISNUMBER(E162)),D162*E162,"")</f>
        <v/>
      </c>
      <c r="G162" s="31" t="n"/>
      <c r="H162" s="32">
        <f>IF(C162="SELL",F162-SUMIFS($F$2:$F$1000,$B$2:$B$1000,B162,$C$2:$C$1000,"&lt;&gt;SELL",$A$2:$A$1000,"&gt;"&amp;_xlfn.MAXIFS($A$2:$A$1000,$B$2:$B$1000,B162,$C$2:$C$1000,"SELL",$A$2:$A$1000,"&lt;"&amp;A162),$A$2:$A$1000,"&lt;="&amp;A162),"")</f>
        <v/>
      </c>
    </row>
    <row r="163">
      <c r="A163" s="29" t="n"/>
      <c r="B163" s="30" t="n"/>
      <c r="C163" s="30" t="n"/>
      <c r="D163" s="31" t="n"/>
      <c r="E163" s="30" t="n"/>
      <c r="F163" s="32">
        <f>IF(AND(ISNUMBER(D163),ISNUMBER(E163)),D163*E163,"")</f>
        <v/>
      </c>
      <c r="G163" s="31" t="n"/>
      <c r="H163" s="32">
        <f>IF(C163="SELL",F163-SUMIFS($F$2:$F$1000,$B$2:$B$1000,B163,$C$2:$C$1000,"&lt;&gt;SELL",$A$2:$A$1000,"&gt;"&amp;_xlfn.MAXIFS($A$2:$A$1000,$B$2:$B$1000,B163,$C$2:$C$1000,"SELL",$A$2:$A$1000,"&lt;"&amp;A163),$A$2:$A$1000,"&lt;="&amp;A163),"")</f>
        <v/>
      </c>
    </row>
    <row r="164">
      <c r="A164" s="29" t="n"/>
      <c r="B164" s="30" t="n"/>
      <c r="C164" s="30" t="n"/>
      <c r="D164" s="31" t="n"/>
      <c r="E164" s="30" t="n"/>
      <c r="F164" s="32">
        <f>IF(AND(ISNUMBER(D164),ISNUMBER(E164)),D164*E164,"")</f>
        <v/>
      </c>
      <c r="G164" s="31" t="n"/>
      <c r="H164" s="32">
        <f>IF(C164="SELL",F164-SUMIFS($F$2:$F$1000,$B$2:$B$1000,B164,$C$2:$C$1000,"&lt;&gt;SELL",$A$2:$A$1000,"&gt;"&amp;_xlfn.MAXIFS($A$2:$A$1000,$B$2:$B$1000,B164,$C$2:$C$1000,"SELL",$A$2:$A$1000,"&lt;"&amp;A164),$A$2:$A$1000,"&lt;="&amp;A164),"")</f>
        <v/>
      </c>
    </row>
    <row r="165">
      <c r="A165" s="29" t="n"/>
      <c r="B165" s="30" t="n"/>
      <c r="C165" s="30" t="n"/>
      <c r="D165" s="31" t="n"/>
      <c r="E165" s="30" t="n"/>
      <c r="F165" s="32">
        <f>IF(AND(ISNUMBER(D165),ISNUMBER(E165)),D165*E165,"")</f>
        <v/>
      </c>
      <c r="G165" s="31" t="n"/>
      <c r="H165" s="32">
        <f>IF(C165="SELL",F165-SUMIFS($F$2:$F$1000,$B$2:$B$1000,B165,$C$2:$C$1000,"&lt;&gt;SELL",$A$2:$A$1000,"&gt;"&amp;_xlfn.MAXIFS($A$2:$A$1000,$B$2:$B$1000,B165,$C$2:$C$1000,"SELL",$A$2:$A$1000,"&lt;"&amp;A165),$A$2:$A$1000,"&lt;="&amp;A165),"")</f>
        <v/>
      </c>
    </row>
    <row r="166">
      <c r="A166" s="29" t="n"/>
      <c r="B166" s="30" t="n"/>
      <c r="C166" s="30" t="n"/>
      <c r="D166" s="31" t="n"/>
      <c r="E166" s="30" t="n"/>
      <c r="F166" s="32">
        <f>IF(AND(ISNUMBER(D166),ISNUMBER(E166)),D166*E166,"")</f>
        <v/>
      </c>
      <c r="G166" s="31" t="n"/>
      <c r="H166" s="32">
        <f>IF(C166="SELL",F166-SUMIFS($F$2:$F$1000,$B$2:$B$1000,B166,$C$2:$C$1000,"&lt;&gt;SELL",$A$2:$A$1000,"&gt;"&amp;_xlfn.MAXIFS($A$2:$A$1000,$B$2:$B$1000,B166,$C$2:$C$1000,"SELL",$A$2:$A$1000,"&lt;"&amp;A166),$A$2:$A$1000,"&lt;="&amp;A166),"")</f>
        <v/>
      </c>
    </row>
    <row r="167">
      <c r="A167" s="29" t="n"/>
      <c r="B167" s="30" t="n"/>
      <c r="C167" s="30" t="n"/>
      <c r="D167" s="31" t="n"/>
      <c r="E167" s="30" t="n"/>
      <c r="F167" s="32">
        <f>IF(AND(ISNUMBER(D167),ISNUMBER(E167)),D167*E167,"")</f>
        <v/>
      </c>
      <c r="G167" s="31" t="n"/>
      <c r="H167" s="32">
        <f>IF(C167="SELL",F167-SUMIFS($F$2:$F$1000,$B$2:$B$1000,B167,$C$2:$C$1000,"&lt;&gt;SELL",$A$2:$A$1000,"&gt;"&amp;_xlfn.MAXIFS($A$2:$A$1000,$B$2:$B$1000,B167,$C$2:$C$1000,"SELL",$A$2:$A$1000,"&lt;"&amp;A167),$A$2:$A$1000,"&lt;="&amp;A167),"")</f>
        <v/>
      </c>
    </row>
    <row r="168">
      <c r="A168" s="29" t="n"/>
      <c r="B168" s="30" t="n"/>
      <c r="C168" s="30" t="n"/>
      <c r="D168" s="31" t="n"/>
      <c r="E168" s="30" t="n"/>
      <c r="F168" s="32">
        <f>IF(AND(ISNUMBER(D168),ISNUMBER(E168)),D168*E168,"")</f>
        <v/>
      </c>
      <c r="G168" s="31" t="n"/>
      <c r="H168" s="32">
        <f>IF(C168="SELL",F168-SUMIFS($F$2:$F$1000,$B$2:$B$1000,B168,$C$2:$C$1000,"&lt;&gt;SELL",$A$2:$A$1000,"&gt;"&amp;_xlfn.MAXIFS($A$2:$A$1000,$B$2:$B$1000,B168,$C$2:$C$1000,"SELL",$A$2:$A$1000,"&lt;"&amp;A168),$A$2:$A$1000,"&lt;="&amp;A168),"")</f>
        <v/>
      </c>
    </row>
    <row r="169">
      <c r="A169" s="29" t="n"/>
      <c r="B169" s="30" t="n"/>
      <c r="C169" s="30" t="n"/>
      <c r="D169" s="31" t="n"/>
      <c r="E169" s="30" t="n"/>
      <c r="F169" s="32">
        <f>IF(AND(ISNUMBER(D169),ISNUMBER(E169)),D169*E169,"")</f>
        <v/>
      </c>
      <c r="G169" s="31" t="n"/>
      <c r="H169" s="32">
        <f>IF(C169="SELL",F169-SUMIFS($F$2:$F$1000,$B$2:$B$1000,B169,$C$2:$C$1000,"&lt;&gt;SELL",$A$2:$A$1000,"&gt;"&amp;_xlfn.MAXIFS($A$2:$A$1000,$B$2:$B$1000,B169,$C$2:$C$1000,"SELL",$A$2:$A$1000,"&lt;"&amp;A169),$A$2:$A$1000,"&lt;="&amp;A169),"")</f>
        <v/>
      </c>
    </row>
    <row r="170">
      <c r="A170" s="29" t="n"/>
      <c r="B170" s="30" t="n"/>
      <c r="C170" s="30" t="n"/>
      <c r="D170" s="31" t="n"/>
      <c r="E170" s="30" t="n"/>
      <c r="F170" s="32">
        <f>IF(AND(ISNUMBER(D170),ISNUMBER(E170)),D170*E170,"")</f>
        <v/>
      </c>
      <c r="G170" s="31" t="n"/>
      <c r="H170" s="32">
        <f>IF(C170="SELL",F170-SUMIFS($F$2:$F$1000,$B$2:$B$1000,B170,$C$2:$C$1000,"&lt;&gt;SELL",$A$2:$A$1000,"&gt;"&amp;_xlfn.MAXIFS($A$2:$A$1000,$B$2:$B$1000,B170,$C$2:$C$1000,"SELL",$A$2:$A$1000,"&lt;"&amp;A170),$A$2:$A$1000,"&lt;="&amp;A170),"")</f>
        <v/>
      </c>
    </row>
    <row r="171">
      <c r="A171" s="29" t="n"/>
      <c r="B171" s="30" t="n"/>
      <c r="C171" s="30" t="n"/>
      <c r="D171" s="31" t="n"/>
      <c r="E171" s="30" t="n"/>
      <c r="F171" s="32">
        <f>IF(AND(ISNUMBER(D171),ISNUMBER(E171)),D171*E171,"")</f>
        <v/>
      </c>
      <c r="G171" s="31" t="n"/>
      <c r="H171" s="32">
        <f>IF(C171="SELL",F171-SUMIFS($F$2:$F$1000,$B$2:$B$1000,B171,$C$2:$C$1000,"&lt;&gt;SELL",$A$2:$A$1000,"&gt;"&amp;_xlfn.MAXIFS($A$2:$A$1000,$B$2:$B$1000,B171,$C$2:$C$1000,"SELL",$A$2:$A$1000,"&lt;"&amp;A171),$A$2:$A$1000,"&lt;="&amp;A171),"")</f>
        <v/>
      </c>
    </row>
    <row r="172">
      <c r="A172" s="29" t="n"/>
      <c r="B172" s="30" t="n"/>
      <c r="C172" s="30" t="n"/>
      <c r="D172" s="31" t="n"/>
      <c r="E172" s="30" t="n"/>
      <c r="F172" s="32">
        <f>IF(AND(ISNUMBER(D172),ISNUMBER(E172)),D172*E172,"")</f>
        <v/>
      </c>
      <c r="G172" s="31" t="n"/>
      <c r="H172" s="32">
        <f>IF(C172="SELL",F172-SUMIFS($F$2:$F$1000,$B$2:$B$1000,B172,$C$2:$C$1000,"&lt;&gt;SELL",$A$2:$A$1000,"&gt;"&amp;_xlfn.MAXIFS($A$2:$A$1000,$B$2:$B$1000,B172,$C$2:$C$1000,"SELL",$A$2:$A$1000,"&lt;"&amp;A172),$A$2:$A$1000,"&lt;="&amp;A172),"")</f>
        <v/>
      </c>
    </row>
    <row r="173">
      <c r="A173" s="29" t="n"/>
      <c r="B173" s="30" t="n"/>
      <c r="C173" s="30" t="n"/>
      <c r="D173" s="31" t="n"/>
      <c r="E173" s="30" t="n"/>
      <c r="F173" s="32">
        <f>IF(AND(ISNUMBER(D173),ISNUMBER(E173)),D173*E173,"")</f>
        <v/>
      </c>
      <c r="G173" s="31" t="n"/>
      <c r="H173" s="32">
        <f>IF(C173="SELL",F173-SUMIFS($F$2:$F$1000,$B$2:$B$1000,B173,$C$2:$C$1000,"&lt;&gt;SELL",$A$2:$A$1000,"&gt;"&amp;_xlfn.MAXIFS($A$2:$A$1000,$B$2:$B$1000,B173,$C$2:$C$1000,"SELL",$A$2:$A$1000,"&lt;"&amp;A173),$A$2:$A$1000,"&lt;="&amp;A173),"")</f>
        <v/>
      </c>
    </row>
    <row r="174">
      <c r="A174" s="29" t="n"/>
      <c r="B174" s="30" t="n"/>
      <c r="C174" s="30" t="n"/>
      <c r="D174" s="31" t="n"/>
      <c r="E174" s="30" t="n"/>
      <c r="F174" s="32">
        <f>IF(AND(ISNUMBER(D174),ISNUMBER(E174)),D174*E174,"")</f>
        <v/>
      </c>
      <c r="G174" s="31" t="n"/>
      <c r="H174" s="32">
        <f>IF(C174="SELL",F174-SUMIFS($F$2:$F$1000,$B$2:$B$1000,B174,$C$2:$C$1000,"&lt;&gt;SELL",$A$2:$A$1000,"&gt;"&amp;_xlfn.MAXIFS($A$2:$A$1000,$B$2:$B$1000,B174,$C$2:$C$1000,"SELL",$A$2:$A$1000,"&lt;"&amp;A174),$A$2:$A$1000,"&lt;="&amp;A174),"")</f>
        <v/>
      </c>
    </row>
    <row r="175">
      <c r="A175" s="29" t="n"/>
      <c r="B175" s="30" t="n"/>
      <c r="C175" s="30" t="n"/>
      <c r="D175" s="31" t="n"/>
      <c r="E175" s="30" t="n"/>
      <c r="F175" s="32">
        <f>IF(AND(ISNUMBER(D175),ISNUMBER(E175)),D175*E175,"")</f>
        <v/>
      </c>
      <c r="G175" s="31" t="n"/>
      <c r="H175" s="32">
        <f>IF(C175="SELL",F175-SUMIFS($F$2:$F$1000,$B$2:$B$1000,B175,$C$2:$C$1000,"&lt;&gt;SELL",$A$2:$A$1000,"&gt;"&amp;_xlfn.MAXIFS($A$2:$A$1000,$B$2:$B$1000,B175,$C$2:$C$1000,"SELL",$A$2:$A$1000,"&lt;"&amp;A175),$A$2:$A$1000,"&lt;="&amp;A175),"")</f>
        <v/>
      </c>
    </row>
    <row r="176">
      <c r="A176" s="29" t="n"/>
      <c r="B176" s="30" t="n"/>
      <c r="C176" s="30" t="n"/>
      <c r="D176" s="31" t="n"/>
      <c r="E176" s="30" t="n"/>
      <c r="F176" s="32">
        <f>IF(AND(ISNUMBER(D176),ISNUMBER(E176)),D176*E176,"")</f>
        <v/>
      </c>
      <c r="G176" s="31" t="n"/>
      <c r="H176" s="32">
        <f>IF(C176="SELL",F176-SUMIFS($F$2:$F$1000,$B$2:$B$1000,B176,$C$2:$C$1000,"&lt;&gt;SELL",$A$2:$A$1000,"&gt;"&amp;_xlfn.MAXIFS($A$2:$A$1000,$B$2:$B$1000,B176,$C$2:$C$1000,"SELL",$A$2:$A$1000,"&lt;"&amp;A176),$A$2:$A$1000,"&lt;="&amp;A176),"")</f>
        <v/>
      </c>
    </row>
    <row r="177">
      <c r="A177" s="29" t="n"/>
      <c r="B177" s="30" t="n"/>
      <c r="C177" s="30" t="n"/>
      <c r="D177" s="31" t="n"/>
      <c r="E177" s="30" t="n"/>
      <c r="F177" s="32">
        <f>IF(AND(ISNUMBER(D177),ISNUMBER(E177)),D177*E177,"")</f>
        <v/>
      </c>
      <c r="G177" s="31" t="n"/>
      <c r="H177" s="32">
        <f>IF(C177="SELL",F177-SUMIFS($F$2:$F$1000,$B$2:$B$1000,B177,$C$2:$C$1000,"&lt;&gt;SELL",$A$2:$A$1000,"&gt;"&amp;_xlfn.MAXIFS($A$2:$A$1000,$B$2:$B$1000,B177,$C$2:$C$1000,"SELL",$A$2:$A$1000,"&lt;"&amp;A177),$A$2:$A$1000,"&lt;="&amp;A177),"")</f>
        <v/>
      </c>
    </row>
    <row r="178">
      <c r="A178" s="29" t="n"/>
      <c r="B178" s="30" t="n"/>
      <c r="C178" s="30" t="n"/>
      <c r="D178" s="31" t="n"/>
      <c r="E178" s="30" t="n"/>
      <c r="F178" s="32">
        <f>IF(AND(ISNUMBER(D178),ISNUMBER(E178)),D178*E178,"")</f>
        <v/>
      </c>
      <c r="G178" s="31" t="n"/>
      <c r="H178" s="32">
        <f>IF(C178="SELL",F178-SUMIFS($F$2:$F$1000,$B$2:$B$1000,B178,$C$2:$C$1000,"&lt;&gt;SELL",$A$2:$A$1000,"&gt;"&amp;_xlfn.MAXIFS($A$2:$A$1000,$B$2:$B$1000,B178,$C$2:$C$1000,"SELL",$A$2:$A$1000,"&lt;"&amp;A178),$A$2:$A$1000,"&lt;="&amp;A178),"")</f>
        <v/>
      </c>
    </row>
    <row r="179">
      <c r="A179" s="29" t="n"/>
      <c r="B179" s="30" t="n"/>
      <c r="C179" s="30" t="n"/>
      <c r="D179" s="31" t="n"/>
      <c r="E179" s="30" t="n"/>
      <c r="F179" s="32">
        <f>IF(AND(ISNUMBER(D179),ISNUMBER(E179)),D179*E179,"")</f>
        <v/>
      </c>
      <c r="G179" s="31" t="n"/>
      <c r="H179" s="32">
        <f>IF(C179="SELL",F179-SUMIFS($F$2:$F$1000,$B$2:$B$1000,B179,$C$2:$C$1000,"&lt;&gt;SELL",$A$2:$A$1000,"&gt;"&amp;_xlfn.MAXIFS($A$2:$A$1000,$B$2:$B$1000,B179,$C$2:$C$1000,"SELL",$A$2:$A$1000,"&lt;"&amp;A179),$A$2:$A$1000,"&lt;="&amp;A179),"")</f>
        <v/>
      </c>
    </row>
    <row r="180">
      <c r="A180" s="29" t="n"/>
      <c r="B180" s="30" t="n"/>
      <c r="C180" s="30" t="n"/>
      <c r="D180" s="31" t="n"/>
      <c r="E180" s="30" t="n"/>
      <c r="F180" s="32">
        <f>IF(AND(ISNUMBER(D180),ISNUMBER(E180)),D180*E180,"")</f>
        <v/>
      </c>
      <c r="G180" s="31" t="n"/>
      <c r="H180" s="32">
        <f>IF(C180="SELL",F180-SUMIFS($F$2:$F$1000,$B$2:$B$1000,B180,$C$2:$C$1000,"&lt;&gt;SELL",$A$2:$A$1000,"&gt;"&amp;_xlfn.MAXIFS($A$2:$A$1000,$B$2:$B$1000,B180,$C$2:$C$1000,"SELL",$A$2:$A$1000,"&lt;"&amp;A180),$A$2:$A$1000,"&lt;="&amp;A180),"")</f>
        <v/>
      </c>
    </row>
    <row r="181">
      <c r="A181" s="29" t="n"/>
      <c r="B181" s="30" t="n"/>
      <c r="C181" s="30" t="n"/>
      <c r="D181" s="31" t="n"/>
      <c r="E181" s="30" t="n"/>
      <c r="F181" s="32">
        <f>IF(AND(ISNUMBER(D181),ISNUMBER(E181)),D181*E181,"")</f>
        <v/>
      </c>
      <c r="G181" s="31" t="n"/>
      <c r="H181" s="32">
        <f>IF(C181="SELL",F181-SUMIFS($F$2:$F$1000,$B$2:$B$1000,B181,$C$2:$C$1000,"&lt;&gt;SELL",$A$2:$A$1000,"&gt;"&amp;_xlfn.MAXIFS($A$2:$A$1000,$B$2:$B$1000,B181,$C$2:$C$1000,"SELL",$A$2:$A$1000,"&lt;"&amp;A181),$A$2:$A$1000,"&lt;="&amp;A181),"")</f>
        <v/>
      </c>
    </row>
    <row r="182">
      <c r="A182" s="29" t="n"/>
      <c r="B182" s="30" t="n"/>
      <c r="C182" s="30" t="n"/>
      <c r="D182" s="31" t="n"/>
      <c r="E182" s="30" t="n"/>
      <c r="F182" s="32">
        <f>IF(AND(ISNUMBER(D182),ISNUMBER(E182)),D182*E182,"")</f>
        <v/>
      </c>
      <c r="G182" s="31" t="n"/>
      <c r="H182" s="32">
        <f>IF(C182="SELL",F182-SUMIFS($F$2:$F$1000,$B$2:$B$1000,B182,$C$2:$C$1000,"&lt;&gt;SELL",$A$2:$A$1000,"&gt;"&amp;_xlfn.MAXIFS($A$2:$A$1000,$B$2:$B$1000,B182,$C$2:$C$1000,"SELL",$A$2:$A$1000,"&lt;"&amp;A182),$A$2:$A$1000,"&lt;="&amp;A182),"")</f>
        <v/>
      </c>
    </row>
    <row r="183">
      <c r="A183" s="29" t="n"/>
      <c r="B183" s="30" t="n"/>
      <c r="C183" s="30" t="n"/>
      <c r="D183" s="31" t="n"/>
      <c r="E183" s="30" t="n"/>
      <c r="F183" s="32">
        <f>IF(AND(ISNUMBER(D183),ISNUMBER(E183)),D183*E183,"")</f>
        <v/>
      </c>
      <c r="G183" s="31" t="n"/>
      <c r="H183" s="32">
        <f>IF(C183="SELL",F183-SUMIFS($F$2:$F$1000,$B$2:$B$1000,B183,$C$2:$C$1000,"&lt;&gt;SELL",$A$2:$A$1000,"&gt;"&amp;_xlfn.MAXIFS($A$2:$A$1000,$B$2:$B$1000,B183,$C$2:$C$1000,"SELL",$A$2:$A$1000,"&lt;"&amp;A183),$A$2:$A$1000,"&lt;="&amp;A183),"")</f>
        <v/>
      </c>
    </row>
    <row r="184">
      <c r="A184" s="29" t="n"/>
      <c r="B184" s="30" t="n"/>
      <c r="C184" s="30" t="n"/>
      <c r="D184" s="31" t="n"/>
      <c r="E184" s="30" t="n"/>
      <c r="F184" s="32">
        <f>IF(AND(ISNUMBER(D184),ISNUMBER(E184)),D184*E184,"")</f>
        <v/>
      </c>
      <c r="G184" s="31" t="n"/>
      <c r="H184" s="32">
        <f>IF(C184="SELL",F184-SUMIFS($F$2:$F$1000,$B$2:$B$1000,B184,$C$2:$C$1000,"&lt;&gt;SELL",$A$2:$A$1000,"&gt;"&amp;_xlfn.MAXIFS($A$2:$A$1000,$B$2:$B$1000,B184,$C$2:$C$1000,"SELL",$A$2:$A$1000,"&lt;"&amp;A184),$A$2:$A$1000,"&lt;="&amp;A184),"")</f>
        <v/>
      </c>
    </row>
    <row r="185">
      <c r="A185" s="29" t="n"/>
      <c r="B185" s="30" t="n"/>
      <c r="C185" s="30" t="n"/>
      <c r="D185" s="31" t="n"/>
      <c r="E185" s="30" t="n"/>
      <c r="F185" s="32">
        <f>IF(AND(ISNUMBER(D185),ISNUMBER(E185)),D185*E185,"")</f>
        <v/>
      </c>
      <c r="G185" s="31" t="n"/>
      <c r="H185" s="32">
        <f>IF(C185="SELL",F185-SUMIFS($F$2:$F$1000,$B$2:$B$1000,B185,$C$2:$C$1000,"&lt;&gt;SELL",$A$2:$A$1000,"&gt;"&amp;_xlfn.MAXIFS($A$2:$A$1000,$B$2:$B$1000,B185,$C$2:$C$1000,"SELL",$A$2:$A$1000,"&lt;"&amp;A185),$A$2:$A$1000,"&lt;="&amp;A185),"")</f>
        <v/>
      </c>
    </row>
    <row r="186">
      <c r="A186" s="29" t="n"/>
      <c r="B186" s="30" t="n"/>
      <c r="C186" s="30" t="n"/>
      <c r="D186" s="31" t="n"/>
      <c r="E186" s="30" t="n"/>
      <c r="F186" s="32">
        <f>IF(AND(ISNUMBER(D186),ISNUMBER(E186)),D186*E186,"")</f>
        <v/>
      </c>
      <c r="G186" s="31" t="n"/>
      <c r="H186" s="32">
        <f>IF(C186="SELL",F186-SUMIFS($F$2:$F$1000,$B$2:$B$1000,B186,$C$2:$C$1000,"&lt;&gt;SELL",$A$2:$A$1000,"&gt;"&amp;_xlfn.MAXIFS($A$2:$A$1000,$B$2:$B$1000,B186,$C$2:$C$1000,"SELL",$A$2:$A$1000,"&lt;"&amp;A186),$A$2:$A$1000,"&lt;="&amp;A186),"")</f>
        <v/>
      </c>
    </row>
    <row r="187">
      <c r="A187" s="29" t="n"/>
      <c r="B187" s="30" t="n"/>
      <c r="C187" s="30" t="n"/>
      <c r="D187" s="31" t="n"/>
      <c r="E187" s="30" t="n"/>
      <c r="F187" s="32">
        <f>IF(AND(ISNUMBER(D187),ISNUMBER(E187)),D187*E187,"")</f>
        <v/>
      </c>
      <c r="G187" s="31" t="n"/>
      <c r="H187" s="32">
        <f>IF(C187="SELL",F187-SUMIFS($F$2:$F$1000,$B$2:$B$1000,B187,$C$2:$C$1000,"&lt;&gt;SELL",$A$2:$A$1000,"&gt;"&amp;_xlfn.MAXIFS($A$2:$A$1000,$B$2:$B$1000,B187,$C$2:$C$1000,"SELL",$A$2:$A$1000,"&lt;"&amp;A187),$A$2:$A$1000,"&lt;="&amp;A187),"")</f>
        <v/>
      </c>
    </row>
    <row r="188">
      <c r="A188" s="29" t="n"/>
      <c r="B188" s="30" t="n"/>
      <c r="C188" s="30" t="n"/>
      <c r="D188" s="31" t="n"/>
      <c r="E188" s="30" t="n"/>
      <c r="F188" s="32">
        <f>IF(AND(ISNUMBER(D188),ISNUMBER(E188)),D188*E188,"")</f>
        <v/>
      </c>
      <c r="G188" s="31" t="n"/>
      <c r="H188" s="32">
        <f>IF(C188="SELL",F188-SUMIFS($F$2:$F$1000,$B$2:$B$1000,B188,$C$2:$C$1000,"&lt;&gt;SELL",$A$2:$A$1000,"&gt;"&amp;_xlfn.MAXIFS($A$2:$A$1000,$B$2:$B$1000,B188,$C$2:$C$1000,"SELL",$A$2:$A$1000,"&lt;"&amp;A188),$A$2:$A$1000,"&lt;="&amp;A188),"")</f>
        <v/>
      </c>
    </row>
    <row r="189">
      <c r="A189" s="29" t="n"/>
      <c r="B189" s="30" t="n"/>
      <c r="C189" s="30" t="n"/>
      <c r="D189" s="31" t="n"/>
      <c r="E189" s="30" t="n"/>
      <c r="F189" s="32">
        <f>IF(AND(ISNUMBER(D189),ISNUMBER(E189)),D189*E189,"")</f>
        <v/>
      </c>
      <c r="G189" s="31" t="n"/>
      <c r="H189" s="32">
        <f>IF(C189="SELL",F189-SUMIFS($F$2:$F$1000,$B$2:$B$1000,B189,$C$2:$C$1000,"&lt;&gt;SELL",$A$2:$A$1000,"&gt;"&amp;_xlfn.MAXIFS($A$2:$A$1000,$B$2:$B$1000,B189,$C$2:$C$1000,"SELL",$A$2:$A$1000,"&lt;"&amp;A189),$A$2:$A$1000,"&lt;="&amp;A189),"")</f>
        <v/>
      </c>
    </row>
    <row r="190">
      <c r="A190" s="29" t="n"/>
      <c r="B190" s="30" t="n"/>
      <c r="C190" s="30" t="n"/>
      <c r="D190" s="31" t="n"/>
      <c r="E190" s="30" t="n"/>
      <c r="F190" s="32">
        <f>IF(AND(ISNUMBER(D190),ISNUMBER(E190)),D190*E190,"")</f>
        <v/>
      </c>
      <c r="G190" s="31" t="n"/>
      <c r="H190" s="32">
        <f>IF(C190="SELL",F190-SUMIFS($F$2:$F$1000,$B$2:$B$1000,B190,$C$2:$C$1000,"&lt;&gt;SELL",$A$2:$A$1000,"&gt;"&amp;_xlfn.MAXIFS($A$2:$A$1000,$B$2:$B$1000,B190,$C$2:$C$1000,"SELL",$A$2:$A$1000,"&lt;"&amp;A190),$A$2:$A$1000,"&lt;="&amp;A190),"")</f>
        <v/>
      </c>
    </row>
    <row r="191">
      <c r="A191" s="29" t="n"/>
      <c r="B191" s="30" t="n"/>
      <c r="C191" s="30" t="n"/>
      <c r="D191" s="31" t="n"/>
      <c r="E191" s="30" t="n"/>
      <c r="F191" s="32">
        <f>IF(AND(ISNUMBER(D191),ISNUMBER(E191)),D191*E191,"")</f>
        <v/>
      </c>
      <c r="G191" s="31" t="n"/>
      <c r="H191" s="32">
        <f>IF(C191="SELL",F191-SUMIFS($F$2:$F$1000,$B$2:$B$1000,B191,$C$2:$C$1000,"&lt;&gt;SELL",$A$2:$A$1000,"&gt;"&amp;_xlfn.MAXIFS($A$2:$A$1000,$B$2:$B$1000,B191,$C$2:$C$1000,"SELL",$A$2:$A$1000,"&lt;"&amp;A191),$A$2:$A$1000,"&lt;="&amp;A191),"")</f>
        <v/>
      </c>
    </row>
    <row r="192">
      <c r="A192" s="29" t="n"/>
      <c r="B192" s="30" t="n"/>
      <c r="C192" s="30" t="n"/>
      <c r="D192" s="31" t="n"/>
      <c r="E192" s="30" t="n"/>
      <c r="F192" s="32">
        <f>IF(AND(ISNUMBER(D192),ISNUMBER(E192)),D192*E192,"")</f>
        <v/>
      </c>
      <c r="G192" s="31" t="n"/>
      <c r="H192" s="32">
        <f>IF(C192="SELL",F192-SUMIFS($F$2:$F$1000,$B$2:$B$1000,B192,$C$2:$C$1000,"&lt;&gt;SELL",$A$2:$A$1000,"&gt;"&amp;_xlfn.MAXIFS($A$2:$A$1000,$B$2:$B$1000,B192,$C$2:$C$1000,"SELL",$A$2:$A$1000,"&lt;"&amp;A192),$A$2:$A$1000,"&lt;="&amp;A192),"")</f>
        <v/>
      </c>
    </row>
    <row r="193">
      <c r="A193" s="29" t="n"/>
      <c r="B193" s="30" t="n"/>
      <c r="C193" s="30" t="n"/>
      <c r="D193" s="31" t="n"/>
      <c r="E193" s="30" t="n"/>
      <c r="F193" s="32">
        <f>IF(AND(ISNUMBER(D193),ISNUMBER(E193)),D193*E193,"")</f>
        <v/>
      </c>
      <c r="G193" s="31" t="n"/>
      <c r="H193" s="32">
        <f>IF(C193="SELL",F193-SUMIFS($F$2:$F$1000,$B$2:$B$1000,B193,$C$2:$C$1000,"&lt;&gt;SELL",$A$2:$A$1000,"&gt;"&amp;_xlfn.MAXIFS($A$2:$A$1000,$B$2:$B$1000,B193,$C$2:$C$1000,"SELL",$A$2:$A$1000,"&lt;"&amp;A193),$A$2:$A$1000,"&lt;="&amp;A193),"")</f>
        <v/>
      </c>
    </row>
    <row r="194">
      <c r="A194" s="29" t="n"/>
      <c r="B194" s="30" t="n"/>
      <c r="C194" s="30" t="n"/>
      <c r="D194" s="31" t="n"/>
      <c r="E194" s="30" t="n"/>
      <c r="F194" s="32">
        <f>IF(AND(ISNUMBER(D194),ISNUMBER(E194)),D194*E194,"")</f>
        <v/>
      </c>
      <c r="G194" s="31" t="n"/>
      <c r="H194" s="32">
        <f>IF(C194="SELL",F194-SUMIFS($F$2:$F$1000,$B$2:$B$1000,B194,$C$2:$C$1000,"&lt;&gt;SELL",$A$2:$A$1000,"&gt;"&amp;_xlfn.MAXIFS($A$2:$A$1000,$B$2:$B$1000,B194,$C$2:$C$1000,"SELL",$A$2:$A$1000,"&lt;"&amp;A194),$A$2:$A$1000,"&lt;="&amp;A194),"")</f>
        <v/>
      </c>
    </row>
    <row r="195">
      <c r="A195" s="29" t="n"/>
      <c r="B195" s="30" t="n"/>
      <c r="C195" s="30" t="n"/>
      <c r="D195" s="31" t="n"/>
      <c r="E195" s="30" t="n"/>
      <c r="F195" s="32">
        <f>IF(AND(ISNUMBER(D195),ISNUMBER(E195)),D195*E195,"")</f>
        <v/>
      </c>
      <c r="G195" s="31" t="n"/>
      <c r="H195" s="32">
        <f>IF(C195="SELL",F195-SUMIFS($F$2:$F$1000,$B$2:$B$1000,B195,$C$2:$C$1000,"&lt;&gt;SELL",$A$2:$A$1000,"&gt;"&amp;_xlfn.MAXIFS($A$2:$A$1000,$B$2:$B$1000,B195,$C$2:$C$1000,"SELL",$A$2:$A$1000,"&lt;"&amp;A195),$A$2:$A$1000,"&lt;="&amp;A195),"")</f>
        <v/>
      </c>
    </row>
    <row r="196">
      <c r="A196" s="29" t="n"/>
      <c r="B196" s="30" t="n"/>
      <c r="C196" s="30" t="n"/>
      <c r="D196" s="31" t="n"/>
      <c r="E196" s="30" t="n"/>
      <c r="F196" s="32">
        <f>IF(AND(ISNUMBER(D196),ISNUMBER(E196)),D196*E196,"")</f>
        <v/>
      </c>
      <c r="G196" s="31" t="n"/>
      <c r="H196" s="32">
        <f>IF(C196="SELL",F196-SUMIFS($F$2:$F$1000,$B$2:$B$1000,B196,$C$2:$C$1000,"&lt;&gt;SELL",$A$2:$A$1000,"&gt;"&amp;_xlfn.MAXIFS($A$2:$A$1000,$B$2:$B$1000,B196,$C$2:$C$1000,"SELL",$A$2:$A$1000,"&lt;"&amp;A196),$A$2:$A$1000,"&lt;="&amp;A196),"")</f>
        <v/>
      </c>
    </row>
    <row r="197">
      <c r="A197" s="29" t="n"/>
      <c r="B197" s="30" t="n"/>
      <c r="C197" s="30" t="n"/>
      <c r="D197" s="31" t="n"/>
      <c r="E197" s="30" t="n"/>
      <c r="F197" s="32">
        <f>IF(AND(ISNUMBER(D197),ISNUMBER(E197)),D197*E197,"")</f>
        <v/>
      </c>
      <c r="G197" s="31" t="n"/>
      <c r="H197" s="32">
        <f>IF(C197="SELL",F197-SUMIFS($F$2:$F$1000,$B$2:$B$1000,B197,$C$2:$C$1000,"&lt;&gt;SELL",$A$2:$A$1000,"&gt;"&amp;_xlfn.MAXIFS($A$2:$A$1000,$B$2:$B$1000,B197,$C$2:$C$1000,"SELL",$A$2:$A$1000,"&lt;"&amp;A197),$A$2:$A$1000,"&lt;="&amp;A197),"")</f>
        <v/>
      </c>
    </row>
    <row r="198">
      <c r="A198" s="29" t="n"/>
      <c r="B198" s="30" t="n"/>
      <c r="C198" s="30" t="n"/>
      <c r="D198" s="31" t="n"/>
      <c r="E198" s="30" t="n"/>
      <c r="F198" s="32">
        <f>IF(AND(ISNUMBER(D198),ISNUMBER(E198)),D198*E198,"")</f>
        <v/>
      </c>
      <c r="G198" s="31" t="n"/>
      <c r="H198" s="32">
        <f>IF(C198="SELL",F198-SUMIFS($F$2:$F$1000,$B$2:$B$1000,B198,$C$2:$C$1000,"&lt;&gt;SELL",$A$2:$A$1000,"&gt;"&amp;_xlfn.MAXIFS($A$2:$A$1000,$B$2:$B$1000,B198,$C$2:$C$1000,"SELL",$A$2:$A$1000,"&lt;"&amp;A198),$A$2:$A$1000,"&lt;="&amp;A198),"")</f>
        <v/>
      </c>
    </row>
    <row r="199">
      <c r="A199" s="29" t="n"/>
      <c r="B199" s="30" t="n"/>
      <c r="C199" s="30" t="n"/>
      <c r="D199" s="31" t="n"/>
      <c r="E199" s="30" t="n"/>
      <c r="F199" s="32">
        <f>IF(AND(ISNUMBER(D199),ISNUMBER(E199)),D199*E199,"")</f>
        <v/>
      </c>
      <c r="G199" s="31" t="n"/>
      <c r="H199" s="32">
        <f>IF(C199="SELL",F199-SUMIFS($F$2:$F$1000,$B$2:$B$1000,B199,$C$2:$C$1000,"&lt;&gt;SELL",$A$2:$A$1000,"&gt;"&amp;_xlfn.MAXIFS($A$2:$A$1000,$B$2:$B$1000,B199,$C$2:$C$1000,"SELL",$A$2:$A$1000,"&lt;"&amp;A199),$A$2:$A$1000,"&lt;="&amp;A199),"")</f>
        <v/>
      </c>
    </row>
    <row r="200">
      <c r="A200" s="29" t="n"/>
      <c r="B200" s="30" t="n"/>
      <c r="C200" s="30" t="n"/>
      <c r="D200" s="31" t="n"/>
      <c r="E200" s="30" t="n"/>
      <c r="F200" s="32">
        <f>IF(AND(ISNUMBER(D200),ISNUMBER(E200)),D200*E200,"")</f>
        <v/>
      </c>
      <c r="G200" s="31" t="n"/>
      <c r="H200" s="32">
        <f>IF(C200="SELL",F200-SUMIFS($F$2:$F$1000,$B$2:$B$1000,B200,$C$2:$C$1000,"&lt;&gt;SELL",$A$2:$A$1000,"&gt;"&amp;_xlfn.MAXIFS($A$2:$A$1000,$B$2:$B$1000,B200,$C$2:$C$1000,"SELL",$A$2:$A$1000,"&lt;"&amp;A200),$A$2:$A$1000,"&lt;="&amp;A200),"")</f>
        <v/>
      </c>
    </row>
    <row r="201">
      <c r="A201" s="29" t="n"/>
      <c r="B201" s="30" t="n"/>
      <c r="C201" s="30" t="n"/>
      <c r="D201" s="31" t="n"/>
      <c r="E201" s="30" t="n"/>
      <c r="F201" s="32">
        <f>IF(AND(ISNUMBER(D201),ISNUMBER(E201)),D201*E201,"")</f>
        <v/>
      </c>
      <c r="G201" s="31" t="n"/>
      <c r="H201" s="32">
        <f>IF(C201="SELL",F201-SUMIFS($F$2:$F$1000,$B$2:$B$1000,B201,$C$2:$C$1000,"&lt;&gt;SELL",$A$2:$A$1000,"&gt;"&amp;_xlfn.MAXIFS($A$2:$A$1000,$B$2:$B$1000,B201,$C$2:$C$1000,"SELL",$A$2:$A$1000,"&lt;"&amp;A201),$A$2:$A$1000,"&lt;="&amp;A201),"")</f>
        <v/>
      </c>
    </row>
    <row r="202">
      <c r="A202" s="29" t="n"/>
      <c r="B202" s="30" t="n"/>
      <c r="C202" s="30" t="n"/>
      <c r="D202" s="31" t="n"/>
      <c r="E202" s="30" t="n"/>
      <c r="F202" s="32">
        <f>IF(AND(ISNUMBER(D202),ISNUMBER(E202)),D202*E202,"")</f>
        <v/>
      </c>
      <c r="G202" s="31" t="n"/>
      <c r="H202" s="32">
        <f>IF(C202="SELL",F202-SUMIFS($F$2:$F$1000,$B$2:$B$1000,B202,$C$2:$C$1000,"&lt;&gt;SELL",$A$2:$A$1000,"&gt;"&amp;_xlfn.MAXIFS($A$2:$A$1000,$B$2:$B$1000,B202,$C$2:$C$1000,"SELL",$A$2:$A$1000,"&lt;"&amp;A202),$A$2:$A$1000,"&lt;="&amp;A202),"")</f>
        <v/>
      </c>
    </row>
    <row r="203">
      <c r="A203" s="29" t="n"/>
      <c r="B203" s="30" t="n"/>
      <c r="C203" s="30" t="n"/>
      <c r="D203" s="31" t="n"/>
      <c r="E203" s="30" t="n"/>
      <c r="F203" s="32">
        <f>IF(AND(ISNUMBER(D203),ISNUMBER(E203)),D203*E203,"")</f>
        <v/>
      </c>
      <c r="G203" s="31" t="n"/>
      <c r="H203" s="32">
        <f>IF(C203="SELL",F203-SUMIFS($F$2:$F$1000,$B$2:$B$1000,B203,$C$2:$C$1000,"&lt;&gt;SELL",$A$2:$A$1000,"&gt;"&amp;_xlfn.MAXIFS($A$2:$A$1000,$B$2:$B$1000,B203,$C$2:$C$1000,"SELL",$A$2:$A$1000,"&lt;"&amp;A203),$A$2:$A$1000,"&lt;="&amp;A203),"")</f>
        <v/>
      </c>
    </row>
    <row r="204">
      <c r="A204" s="29" t="n"/>
      <c r="B204" s="30" t="n"/>
      <c r="C204" s="30" t="n"/>
      <c r="D204" s="31" t="n"/>
      <c r="E204" s="30" t="n"/>
      <c r="F204" s="32">
        <f>IF(AND(ISNUMBER(D204),ISNUMBER(E204)),D204*E204,"")</f>
        <v/>
      </c>
      <c r="G204" s="31" t="n"/>
      <c r="H204" s="32">
        <f>IF(C204="SELL",F204-SUMIFS($F$2:$F$1000,$B$2:$B$1000,B204,$C$2:$C$1000,"&lt;&gt;SELL",$A$2:$A$1000,"&gt;"&amp;_xlfn.MAXIFS($A$2:$A$1000,$B$2:$B$1000,B204,$C$2:$C$1000,"SELL",$A$2:$A$1000,"&lt;"&amp;A204),$A$2:$A$1000,"&lt;="&amp;A204),"")</f>
        <v/>
      </c>
    </row>
    <row r="205">
      <c r="A205" s="29" t="n"/>
      <c r="B205" s="30" t="n"/>
      <c r="C205" s="30" t="n"/>
      <c r="D205" s="31" t="n"/>
      <c r="E205" s="30" t="n"/>
      <c r="F205" s="32">
        <f>IF(AND(ISNUMBER(D205),ISNUMBER(E205)),D205*E205,"")</f>
        <v/>
      </c>
      <c r="G205" s="31" t="n"/>
      <c r="H205" s="32">
        <f>IF(C205="SELL",F205-SUMIFS($F$2:$F$1000,$B$2:$B$1000,B205,$C$2:$C$1000,"&lt;&gt;SELL",$A$2:$A$1000,"&gt;"&amp;_xlfn.MAXIFS($A$2:$A$1000,$B$2:$B$1000,B205,$C$2:$C$1000,"SELL",$A$2:$A$1000,"&lt;"&amp;A205),$A$2:$A$1000,"&lt;="&amp;A205),"")</f>
        <v/>
      </c>
    </row>
    <row r="206">
      <c r="A206" s="29" t="n"/>
      <c r="B206" s="30" t="n"/>
      <c r="C206" s="30" t="n"/>
      <c r="D206" s="31" t="n"/>
      <c r="E206" s="30" t="n"/>
      <c r="F206" s="32">
        <f>IF(AND(ISNUMBER(D206),ISNUMBER(E206)),D206*E206,"")</f>
        <v/>
      </c>
      <c r="G206" s="31" t="n"/>
      <c r="H206" s="32">
        <f>IF(C206="SELL",F206-SUMIFS($F$2:$F$1000,$B$2:$B$1000,B206,$C$2:$C$1000,"&lt;&gt;SELL",$A$2:$A$1000,"&gt;"&amp;_xlfn.MAXIFS($A$2:$A$1000,$B$2:$B$1000,B206,$C$2:$C$1000,"SELL",$A$2:$A$1000,"&lt;"&amp;A206),$A$2:$A$1000,"&lt;="&amp;A206),"")</f>
        <v/>
      </c>
    </row>
    <row r="207">
      <c r="A207" s="29" t="n"/>
      <c r="B207" s="30" t="n"/>
      <c r="C207" s="30" t="n"/>
      <c r="D207" s="31" t="n"/>
      <c r="E207" s="30" t="n"/>
      <c r="F207" s="32">
        <f>IF(AND(ISNUMBER(D207),ISNUMBER(E207)),D207*E207,"")</f>
        <v/>
      </c>
      <c r="G207" s="31" t="n"/>
      <c r="H207" s="32">
        <f>IF(C207="SELL",F207-SUMIFS($F$2:$F$1000,$B$2:$B$1000,B207,$C$2:$C$1000,"&lt;&gt;SELL",$A$2:$A$1000,"&gt;"&amp;_xlfn.MAXIFS($A$2:$A$1000,$B$2:$B$1000,B207,$C$2:$C$1000,"SELL",$A$2:$A$1000,"&lt;"&amp;A207),$A$2:$A$1000,"&lt;="&amp;A207),"")</f>
        <v/>
      </c>
    </row>
    <row r="208">
      <c r="A208" s="29" t="n"/>
      <c r="B208" s="30" t="n"/>
      <c r="C208" s="30" t="n"/>
      <c r="D208" s="31" t="n"/>
      <c r="E208" s="30" t="n"/>
      <c r="F208" s="32">
        <f>IF(AND(ISNUMBER(D208),ISNUMBER(E208)),D208*E208,"")</f>
        <v/>
      </c>
      <c r="G208" s="31" t="n"/>
      <c r="H208" s="32">
        <f>IF(C208="SELL",F208-SUMIFS($F$2:$F$1000,$B$2:$B$1000,B208,$C$2:$C$1000,"&lt;&gt;SELL",$A$2:$A$1000,"&gt;"&amp;_xlfn.MAXIFS($A$2:$A$1000,$B$2:$B$1000,B208,$C$2:$C$1000,"SELL",$A$2:$A$1000,"&lt;"&amp;A208),$A$2:$A$1000,"&lt;="&amp;A208),"")</f>
        <v/>
      </c>
    </row>
    <row r="209">
      <c r="A209" s="29" t="n"/>
      <c r="B209" s="30" t="n"/>
      <c r="C209" s="30" t="n"/>
      <c r="D209" s="31" t="n"/>
      <c r="E209" s="30" t="n"/>
      <c r="F209" s="32">
        <f>IF(AND(ISNUMBER(D209),ISNUMBER(E209)),D209*E209,"")</f>
        <v/>
      </c>
      <c r="G209" s="31" t="n"/>
      <c r="H209" s="32">
        <f>IF(C209="SELL",F209-SUMIFS($F$2:$F$1000,$B$2:$B$1000,B209,$C$2:$C$1000,"&lt;&gt;SELL",$A$2:$A$1000,"&gt;"&amp;_xlfn.MAXIFS($A$2:$A$1000,$B$2:$B$1000,B209,$C$2:$C$1000,"SELL",$A$2:$A$1000,"&lt;"&amp;A209),$A$2:$A$1000,"&lt;="&amp;A209),"")</f>
        <v/>
      </c>
    </row>
    <row r="210">
      <c r="A210" s="29" t="n"/>
      <c r="B210" s="30" t="n"/>
      <c r="C210" s="30" t="n"/>
      <c r="D210" s="31" t="n"/>
      <c r="E210" s="30" t="n"/>
      <c r="F210" s="32">
        <f>IF(AND(ISNUMBER(D210),ISNUMBER(E210)),D210*E210,"")</f>
        <v/>
      </c>
      <c r="G210" s="31" t="n"/>
      <c r="H210" s="32">
        <f>IF(C210="SELL",F210-SUMIFS($F$2:$F$1000,$B$2:$B$1000,B210,$C$2:$C$1000,"&lt;&gt;SELL",$A$2:$A$1000,"&gt;"&amp;_xlfn.MAXIFS($A$2:$A$1000,$B$2:$B$1000,B210,$C$2:$C$1000,"SELL",$A$2:$A$1000,"&lt;"&amp;A210),$A$2:$A$1000,"&lt;="&amp;A210),"")</f>
        <v/>
      </c>
    </row>
    <row r="211">
      <c r="A211" s="29" t="n"/>
      <c r="B211" s="30" t="n"/>
      <c r="C211" s="30" t="n"/>
      <c r="D211" s="31" t="n"/>
      <c r="E211" s="30" t="n"/>
      <c r="F211" s="32">
        <f>IF(AND(ISNUMBER(D211),ISNUMBER(E211)),D211*E211,"")</f>
        <v/>
      </c>
      <c r="G211" s="31" t="n"/>
      <c r="H211" s="32">
        <f>IF(C211="SELL",F211-SUMIFS($F$2:$F$1000,$B$2:$B$1000,B211,$C$2:$C$1000,"&lt;&gt;SELL",$A$2:$A$1000,"&gt;"&amp;_xlfn.MAXIFS($A$2:$A$1000,$B$2:$B$1000,B211,$C$2:$C$1000,"SELL",$A$2:$A$1000,"&lt;"&amp;A211),$A$2:$A$1000,"&lt;="&amp;A211),"")</f>
        <v/>
      </c>
    </row>
    <row r="212">
      <c r="A212" s="29" t="n"/>
      <c r="B212" s="30" t="n"/>
      <c r="C212" s="30" t="n"/>
      <c r="D212" s="31" t="n"/>
      <c r="E212" s="30" t="n"/>
      <c r="F212" s="32">
        <f>IF(AND(ISNUMBER(D212),ISNUMBER(E212)),D212*E212,"")</f>
        <v/>
      </c>
      <c r="G212" s="31" t="n"/>
      <c r="H212" s="32">
        <f>IF(C212="SELL",F212-SUMIFS($F$2:$F$1000,$B$2:$B$1000,B212,$C$2:$C$1000,"&lt;&gt;SELL",$A$2:$A$1000,"&gt;"&amp;_xlfn.MAXIFS($A$2:$A$1000,$B$2:$B$1000,B212,$C$2:$C$1000,"SELL",$A$2:$A$1000,"&lt;"&amp;A212),$A$2:$A$1000,"&lt;="&amp;A212),"")</f>
        <v/>
      </c>
    </row>
    <row r="213">
      <c r="A213" s="29" t="n"/>
      <c r="B213" s="30" t="n"/>
      <c r="C213" s="30" t="n"/>
      <c r="D213" s="31" t="n"/>
      <c r="E213" s="30" t="n"/>
      <c r="F213" s="32">
        <f>IF(AND(ISNUMBER(D213),ISNUMBER(E213)),D213*E213,"")</f>
        <v/>
      </c>
      <c r="G213" s="31" t="n"/>
      <c r="H213" s="32">
        <f>IF(C213="SELL",F213-SUMIFS($F$2:$F$1000,$B$2:$B$1000,B213,$C$2:$C$1000,"&lt;&gt;SELL",$A$2:$A$1000,"&gt;"&amp;_xlfn.MAXIFS($A$2:$A$1000,$B$2:$B$1000,B213,$C$2:$C$1000,"SELL",$A$2:$A$1000,"&lt;"&amp;A213),$A$2:$A$1000,"&lt;="&amp;A213),"")</f>
        <v/>
      </c>
    </row>
    <row r="214">
      <c r="A214" s="29" t="n"/>
      <c r="B214" s="30" t="n"/>
      <c r="C214" s="30" t="n"/>
      <c r="D214" s="31" t="n"/>
      <c r="E214" s="30" t="n"/>
      <c r="F214" s="32">
        <f>IF(AND(ISNUMBER(D214),ISNUMBER(E214)),D214*E214,"")</f>
        <v/>
      </c>
      <c r="G214" s="31" t="n"/>
      <c r="H214" s="32">
        <f>IF(C214="SELL",F214-SUMIFS($F$2:$F$1000,$B$2:$B$1000,B214,$C$2:$C$1000,"&lt;&gt;SELL",$A$2:$A$1000,"&gt;"&amp;_xlfn.MAXIFS($A$2:$A$1000,$B$2:$B$1000,B214,$C$2:$C$1000,"SELL",$A$2:$A$1000,"&lt;"&amp;A214),$A$2:$A$1000,"&lt;="&amp;A214),"")</f>
        <v/>
      </c>
    </row>
    <row r="215">
      <c r="A215" s="29" t="n"/>
      <c r="B215" s="30" t="n"/>
      <c r="C215" s="30" t="n"/>
      <c r="D215" s="31" t="n"/>
      <c r="E215" s="30" t="n"/>
      <c r="F215" s="32">
        <f>IF(AND(ISNUMBER(D215),ISNUMBER(E215)),D215*E215,"")</f>
        <v/>
      </c>
      <c r="G215" s="31" t="n"/>
      <c r="H215" s="32">
        <f>IF(C215="SELL",F215-SUMIFS($F$2:$F$1000,$B$2:$B$1000,B215,$C$2:$C$1000,"&lt;&gt;SELL",$A$2:$A$1000,"&gt;"&amp;_xlfn.MAXIFS($A$2:$A$1000,$B$2:$B$1000,B215,$C$2:$C$1000,"SELL",$A$2:$A$1000,"&lt;"&amp;A215),$A$2:$A$1000,"&lt;="&amp;A215),"")</f>
        <v/>
      </c>
    </row>
    <row r="216">
      <c r="A216" s="29" t="n"/>
      <c r="B216" s="30" t="n"/>
      <c r="C216" s="30" t="n"/>
      <c r="D216" s="31" t="n"/>
      <c r="E216" s="30" t="n"/>
      <c r="F216" s="32">
        <f>IF(AND(ISNUMBER(D216),ISNUMBER(E216)),D216*E216,"")</f>
        <v/>
      </c>
      <c r="G216" s="31" t="n"/>
      <c r="H216" s="32">
        <f>IF(C216="SELL",F216-SUMIFS($F$2:$F$1000,$B$2:$B$1000,B216,$C$2:$C$1000,"&lt;&gt;SELL",$A$2:$A$1000,"&gt;"&amp;_xlfn.MAXIFS($A$2:$A$1000,$B$2:$B$1000,B216,$C$2:$C$1000,"SELL",$A$2:$A$1000,"&lt;"&amp;A216),$A$2:$A$1000,"&lt;="&amp;A216),"")</f>
        <v/>
      </c>
    </row>
    <row r="217">
      <c r="A217" s="29" t="n"/>
      <c r="B217" s="30" t="n"/>
      <c r="C217" s="30" t="n"/>
      <c r="D217" s="31" t="n"/>
      <c r="E217" s="30" t="n"/>
      <c r="F217" s="32">
        <f>IF(AND(ISNUMBER(D217),ISNUMBER(E217)),D217*E217,"")</f>
        <v/>
      </c>
      <c r="G217" s="31" t="n"/>
      <c r="H217" s="32">
        <f>IF(C217="SELL",F217-SUMIFS($F$2:$F$1000,$B$2:$B$1000,B217,$C$2:$C$1000,"&lt;&gt;SELL",$A$2:$A$1000,"&gt;"&amp;_xlfn.MAXIFS($A$2:$A$1000,$B$2:$B$1000,B217,$C$2:$C$1000,"SELL",$A$2:$A$1000,"&lt;"&amp;A217),$A$2:$A$1000,"&lt;="&amp;A217),"")</f>
        <v/>
      </c>
    </row>
    <row r="218">
      <c r="A218" s="29" t="n"/>
      <c r="B218" s="30" t="n"/>
      <c r="C218" s="30" t="n"/>
      <c r="D218" s="31" t="n"/>
      <c r="E218" s="30" t="n"/>
      <c r="F218" s="32">
        <f>IF(AND(ISNUMBER(D218),ISNUMBER(E218)),D218*E218,"")</f>
        <v/>
      </c>
      <c r="G218" s="31" t="n"/>
      <c r="H218" s="32">
        <f>IF(C218="SELL",F218-SUMIFS($F$2:$F$1000,$B$2:$B$1000,B218,$C$2:$C$1000,"&lt;&gt;SELL",$A$2:$A$1000,"&gt;"&amp;_xlfn.MAXIFS($A$2:$A$1000,$B$2:$B$1000,B218,$C$2:$C$1000,"SELL",$A$2:$A$1000,"&lt;"&amp;A218),$A$2:$A$1000,"&lt;="&amp;A218),"")</f>
        <v/>
      </c>
    </row>
    <row r="219">
      <c r="A219" s="29" t="n"/>
      <c r="B219" s="30" t="n"/>
      <c r="C219" s="30" t="n"/>
      <c r="D219" s="31" t="n"/>
      <c r="E219" s="30" t="n"/>
      <c r="F219" s="32">
        <f>IF(AND(ISNUMBER(D219),ISNUMBER(E219)),D219*E219,"")</f>
        <v/>
      </c>
      <c r="G219" s="31" t="n"/>
      <c r="H219" s="32">
        <f>IF(C219="SELL",F219-SUMIFS($F$2:$F$1000,$B$2:$B$1000,B219,$C$2:$C$1000,"&lt;&gt;SELL",$A$2:$A$1000,"&gt;"&amp;_xlfn.MAXIFS($A$2:$A$1000,$B$2:$B$1000,B219,$C$2:$C$1000,"SELL",$A$2:$A$1000,"&lt;"&amp;A219),$A$2:$A$1000,"&lt;="&amp;A219),"")</f>
        <v/>
      </c>
    </row>
    <row r="220">
      <c r="A220" s="29" t="n"/>
      <c r="B220" s="30" t="n"/>
      <c r="C220" s="30" t="n"/>
      <c r="D220" s="31" t="n"/>
      <c r="E220" s="30" t="n"/>
      <c r="F220" s="32">
        <f>IF(AND(ISNUMBER(D220),ISNUMBER(E220)),D220*E220,"")</f>
        <v/>
      </c>
      <c r="G220" s="31" t="n"/>
      <c r="H220" s="32">
        <f>IF(C220="SELL",F220-SUMIFS($F$2:$F$1000,$B$2:$B$1000,B220,$C$2:$C$1000,"&lt;&gt;SELL",$A$2:$A$1000,"&gt;"&amp;_xlfn.MAXIFS($A$2:$A$1000,$B$2:$B$1000,B220,$C$2:$C$1000,"SELL",$A$2:$A$1000,"&lt;"&amp;A220),$A$2:$A$1000,"&lt;="&amp;A220),"")</f>
        <v/>
      </c>
    </row>
    <row r="221">
      <c r="A221" s="29" t="n"/>
      <c r="B221" s="30" t="n"/>
      <c r="C221" s="30" t="n"/>
      <c r="D221" s="31" t="n"/>
      <c r="E221" s="30" t="n"/>
      <c r="F221" s="32">
        <f>IF(AND(ISNUMBER(D221),ISNUMBER(E221)),D221*E221,"")</f>
        <v/>
      </c>
      <c r="G221" s="31" t="n"/>
      <c r="H221" s="32">
        <f>IF(C221="SELL",F221-SUMIFS($F$2:$F$1000,$B$2:$B$1000,B221,$C$2:$C$1000,"&lt;&gt;SELL",$A$2:$A$1000,"&gt;"&amp;_xlfn.MAXIFS($A$2:$A$1000,$B$2:$B$1000,B221,$C$2:$C$1000,"SELL",$A$2:$A$1000,"&lt;"&amp;A221),$A$2:$A$1000,"&lt;="&amp;A221),"")</f>
        <v/>
      </c>
    </row>
    <row r="222">
      <c r="A222" s="29" t="n"/>
      <c r="B222" s="30" t="n"/>
      <c r="C222" s="30" t="n"/>
      <c r="D222" s="31" t="n"/>
      <c r="E222" s="30" t="n"/>
      <c r="F222" s="32">
        <f>IF(AND(ISNUMBER(D222),ISNUMBER(E222)),D222*E222,"")</f>
        <v/>
      </c>
      <c r="G222" s="31" t="n"/>
      <c r="H222" s="32">
        <f>IF(C222="SELL",F222-SUMIFS($F$2:$F$1000,$B$2:$B$1000,B222,$C$2:$C$1000,"&lt;&gt;SELL",$A$2:$A$1000,"&gt;"&amp;_xlfn.MAXIFS($A$2:$A$1000,$B$2:$B$1000,B222,$C$2:$C$1000,"SELL",$A$2:$A$1000,"&lt;"&amp;A222),$A$2:$A$1000,"&lt;="&amp;A222),"")</f>
        <v/>
      </c>
    </row>
    <row r="223">
      <c r="A223" s="29" t="n"/>
      <c r="B223" s="30" t="n"/>
      <c r="C223" s="30" t="n"/>
      <c r="D223" s="31" t="n"/>
      <c r="E223" s="30" t="n"/>
      <c r="F223" s="32">
        <f>IF(AND(ISNUMBER(D223),ISNUMBER(E223)),D223*E223,"")</f>
        <v/>
      </c>
      <c r="G223" s="31" t="n"/>
      <c r="H223" s="32">
        <f>IF(C223="SELL",F223-SUMIFS($F$2:$F$1000,$B$2:$B$1000,B223,$C$2:$C$1000,"&lt;&gt;SELL",$A$2:$A$1000,"&gt;"&amp;_xlfn.MAXIFS($A$2:$A$1000,$B$2:$B$1000,B223,$C$2:$C$1000,"SELL",$A$2:$A$1000,"&lt;"&amp;A223),$A$2:$A$1000,"&lt;="&amp;A223),"")</f>
        <v/>
      </c>
    </row>
    <row r="224">
      <c r="A224" s="29" t="n"/>
      <c r="B224" s="30" t="n"/>
      <c r="C224" s="30" t="n"/>
      <c r="D224" s="31" t="n"/>
      <c r="E224" s="30" t="n"/>
      <c r="F224" s="32">
        <f>IF(AND(ISNUMBER(D224),ISNUMBER(E224)),D224*E224,"")</f>
        <v/>
      </c>
      <c r="G224" s="31" t="n"/>
      <c r="H224" s="32">
        <f>IF(C224="SELL",F224-SUMIFS($F$2:$F$1000,$B$2:$B$1000,B224,$C$2:$C$1000,"&lt;&gt;SELL",$A$2:$A$1000,"&gt;"&amp;_xlfn.MAXIFS($A$2:$A$1000,$B$2:$B$1000,B224,$C$2:$C$1000,"SELL",$A$2:$A$1000,"&lt;"&amp;A224),$A$2:$A$1000,"&lt;="&amp;A224),"")</f>
        <v/>
      </c>
    </row>
    <row r="225">
      <c r="A225" s="29" t="n"/>
      <c r="B225" s="30" t="n"/>
      <c r="C225" s="30" t="n"/>
      <c r="D225" s="31" t="n"/>
      <c r="E225" s="30" t="n"/>
      <c r="F225" s="32">
        <f>IF(AND(ISNUMBER(D225),ISNUMBER(E225)),D225*E225,"")</f>
        <v/>
      </c>
      <c r="G225" s="31" t="n"/>
      <c r="H225" s="32">
        <f>IF(C225="SELL",F225-SUMIFS($F$2:$F$1000,$B$2:$B$1000,B225,$C$2:$C$1000,"&lt;&gt;SELL",$A$2:$A$1000,"&gt;"&amp;_xlfn.MAXIFS($A$2:$A$1000,$B$2:$B$1000,B225,$C$2:$C$1000,"SELL",$A$2:$A$1000,"&lt;"&amp;A225),$A$2:$A$1000,"&lt;="&amp;A225),"")</f>
        <v/>
      </c>
    </row>
    <row r="226">
      <c r="A226" s="29" t="n"/>
      <c r="B226" s="30" t="n"/>
      <c r="C226" s="30" t="n"/>
      <c r="D226" s="31" t="n"/>
      <c r="E226" s="30" t="n"/>
      <c r="F226" s="32">
        <f>IF(AND(ISNUMBER(D226),ISNUMBER(E226)),D226*E226,"")</f>
        <v/>
      </c>
      <c r="G226" s="31" t="n"/>
      <c r="H226" s="32">
        <f>IF(C226="SELL",F226-SUMIFS($F$2:$F$1000,$B$2:$B$1000,B226,$C$2:$C$1000,"&lt;&gt;SELL",$A$2:$A$1000,"&gt;"&amp;_xlfn.MAXIFS($A$2:$A$1000,$B$2:$B$1000,B226,$C$2:$C$1000,"SELL",$A$2:$A$1000,"&lt;"&amp;A226),$A$2:$A$1000,"&lt;="&amp;A226),"")</f>
        <v/>
      </c>
    </row>
    <row r="227">
      <c r="A227" s="29" t="n"/>
      <c r="B227" s="30" t="n"/>
      <c r="C227" s="30" t="n"/>
      <c r="D227" s="31" t="n"/>
      <c r="E227" s="30" t="n"/>
      <c r="F227" s="32">
        <f>IF(AND(ISNUMBER(D227),ISNUMBER(E227)),D227*E227,"")</f>
        <v/>
      </c>
      <c r="G227" s="31" t="n"/>
      <c r="H227" s="32">
        <f>IF(C227="SELL",F227-SUMIFS($F$2:$F$1000,$B$2:$B$1000,B227,$C$2:$C$1000,"&lt;&gt;SELL",$A$2:$A$1000,"&gt;"&amp;_xlfn.MAXIFS($A$2:$A$1000,$B$2:$B$1000,B227,$C$2:$C$1000,"SELL",$A$2:$A$1000,"&lt;"&amp;A227),$A$2:$A$1000,"&lt;="&amp;A227),"")</f>
        <v/>
      </c>
    </row>
    <row r="228">
      <c r="A228" s="29" t="n"/>
      <c r="B228" s="30" t="n"/>
      <c r="C228" s="30" t="n"/>
      <c r="D228" s="31" t="n"/>
      <c r="E228" s="30" t="n"/>
      <c r="F228" s="32">
        <f>IF(AND(ISNUMBER(D228),ISNUMBER(E228)),D228*E228,"")</f>
        <v/>
      </c>
      <c r="G228" s="31" t="n"/>
      <c r="H228" s="32">
        <f>IF(C228="SELL",F228-SUMIFS($F$2:$F$1000,$B$2:$B$1000,B228,$C$2:$C$1000,"&lt;&gt;SELL",$A$2:$A$1000,"&gt;"&amp;_xlfn.MAXIFS($A$2:$A$1000,$B$2:$B$1000,B228,$C$2:$C$1000,"SELL",$A$2:$A$1000,"&lt;"&amp;A228),$A$2:$A$1000,"&lt;="&amp;A228),"")</f>
        <v/>
      </c>
    </row>
    <row r="229">
      <c r="A229" s="29" t="n"/>
      <c r="B229" s="30" t="n"/>
      <c r="C229" s="30" t="n"/>
      <c r="D229" s="31" t="n"/>
      <c r="E229" s="30" t="n"/>
      <c r="F229" s="32">
        <f>IF(AND(ISNUMBER(D229),ISNUMBER(E229)),D229*E229,"")</f>
        <v/>
      </c>
      <c r="G229" s="31" t="n"/>
      <c r="H229" s="32">
        <f>IF(C229="SELL",F229-SUMIFS($F$2:$F$1000,$B$2:$B$1000,B229,$C$2:$C$1000,"&lt;&gt;SELL",$A$2:$A$1000,"&gt;"&amp;_xlfn.MAXIFS($A$2:$A$1000,$B$2:$B$1000,B229,$C$2:$C$1000,"SELL",$A$2:$A$1000,"&lt;"&amp;A229),$A$2:$A$1000,"&lt;="&amp;A229),"")</f>
        <v/>
      </c>
    </row>
    <row r="230">
      <c r="A230" s="29" t="n"/>
      <c r="B230" s="30" t="n"/>
      <c r="C230" s="30" t="n"/>
      <c r="D230" s="31" t="n"/>
      <c r="E230" s="30" t="n"/>
      <c r="F230" s="32">
        <f>IF(AND(ISNUMBER(D230),ISNUMBER(E230)),D230*E230,"")</f>
        <v/>
      </c>
      <c r="G230" s="31" t="n"/>
      <c r="H230" s="32">
        <f>IF(C230="SELL",F230-SUMIFS($F$2:$F$1000,$B$2:$B$1000,B230,$C$2:$C$1000,"&lt;&gt;SELL",$A$2:$A$1000,"&gt;"&amp;_xlfn.MAXIFS($A$2:$A$1000,$B$2:$B$1000,B230,$C$2:$C$1000,"SELL",$A$2:$A$1000,"&lt;"&amp;A230),$A$2:$A$1000,"&lt;="&amp;A230),"")</f>
        <v/>
      </c>
    </row>
    <row r="231">
      <c r="A231" s="29" t="n"/>
      <c r="B231" s="30" t="n"/>
      <c r="C231" s="30" t="n"/>
      <c r="D231" s="31" t="n"/>
      <c r="E231" s="30" t="n"/>
      <c r="F231" s="32">
        <f>IF(AND(ISNUMBER(D231),ISNUMBER(E231)),D231*E231,"")</f>
        <v/>
      </c>
      <c r="G231" s="31" t="n"/>
      <c r="H231" s="32">
        <f>IF(C231="SELL",F231-SUMIFS($F$2:$F$1000,$B$2:$B$1000,B231,$C$2:$C$1000,"&lt;&gt;SELL",$A$2:$A$1000,"&gt;"&amp;_xlfn.MAXIFS($A$2:$A$1000,$B$2:$B$1000,B231,$C$2:$C$1000,"SELL",$A$2:$A$1000,"&lt;"&amp;A231),$A$2:$A$1000,"&lt;="&amp;A231),"")</f>
        <v/>
      </c>
    </row>
    <row r="232">
      <c r="A232" s="29" t="n"/>
      <c r="B232" s="30" t="n"/>
      <c r="C232" s="30" t="n"/>
      <c r="D232" s="31" t="n"/>
      <c r="E232" s="30" t="n"/>
      <c r="F232" s="32">
        <f>IF(AND(ISNUMBER(D232),ISNUMBER(E232)),D232*E232,"")</f>
        <v/>
      </c>
      <c r="G232" s="31" t="n"/>
      <c r="H232" s="32">
        <f>IF(C232="SELL",F232-SUMIFS($F$2:$F$1000,$B$2:$B$1000,B232,$C$2:$C$1000,"&lt;&gt;SELL",$A$2:$A$1000,"&gt;"&amp;_xlfn.MAXIFS($A$2:$A$1000,$B$2:$B$1000,B232,$C$2:$C$1000,"SELL",$A$2:$A$1000,"&lt;"&amp;A232),$A$2:$A$1000,"&lt;="&amp;A232),"")</f>
        <v/>
      </c>
    </row>
    <row r="233">
      <c r="A233" s="29" t="n"/>
      <c r="B233" s="30" t="n"/>
      <c r="C233" s="30" t="n"/>
      <c r="D233" s="31" t="n"/>
      <c r="E233" s="30" t="n"/>
      <c r="F233" s="32">
        <f>IF(AND(ISNUMBER(D233),ISNUMBER(E233)),D233*E233,"")</f>
        <v/>
      </c>
      <c r="G233" s="31" t="n"/>
      <c r="H233" s="32">
        <f>IF(C233="SELL",F233-SUMIFS($F$2:$F$1000,$B$2:$B$1000,B233,$C$2:$C$1000,"&lt;&gt;SELL",$A$2:$A$1000,"&gt;"&amp;_xlfn.MAXIFS($A$2:$A$1000,$B$2:$B$1000,B233,$C$2:$C$1000,"SELL",$A$2:$A$1000,"&lt;"&amp;A233),$A$2:$A$1000,"&lt;="&amp;A233),"")</f>
        <v/>
      </c>
    </row>
    <row r="234">
      <c r="A234" s="29" t="n"/>
      <c r="B234" s="30" t="n"/>
      <c r="C234" s="30" t="n"/>
      <c r="D234" s="31" t="n"/>
      <c r="E234" s="30" t="n"/>
      <c r="F234" s="32">
        <f>IF(AND(ISNUMBER(D234),ISNUMBER(E234)),D234*E234,"")</f>
        <v/>
      </c>
      <c r="G234" s="31" t="n"/>
      <c r="H234" s="32">
        <f>IF(C234="SELL",F234-SUMIFS($F$2:$F$1000,$B$2:$B$1000,B234,$C$2:$C$1000,"&lt;&gt;SELL",$A$2:$A$1000,"&gt;"&amp;_xlfn.MAXIFS($A$2:$A$1000,$B$2:$B$1000,B234,$C$2:$C$1000,"SELL",$A$2:$A$1000,"&lt;"&amp;A234),$A$2:$A$1000,"&lt;="&amp;A234),"")</f>
        <v/>
      </c>
    </row>
    <row r="235">
      <c r="A235" s="29" t="n"/>
      <c r="B235" s="30" t="n"/>
      <c r="C235" s="30" t="n"/>
      <c r="D235" s="31" t="n"/>
      <c r="E235" s="30" t="n"/>
      <c r="F235" s="32">
        <f>IF(AND(ISNUMBER(D235),ISNUMBER(E235)),D235*E235,"")</f>
        <v/>
      </c>
      <c r="G235" s="31" t="n"/>
      <c r="H235" s="32">
        <f>IF(C235="SELL",F235-SUMIFS($F$2:$F$1000,$B$2:$B$1000,B235,$C$2:$C$1000,"&lt;&gt;SELL",$A$2:$A$1000,"&gt;"&amp;_xlfn.MAXIFS($A$2:$A$1000,$B$2:$B$1000,B235,$C$2:$C$1000,"SELL",$A$2:$A$1000,"&lt;"&amp;A235),$A$2:$A$1000,"&lt;="&amp;A235),"")</f>
        <v/>
      </c>
    </row>
    <row r="236">
      <c r="A236" s="29" t="n"/>
      <c r="B236" s="30" t="n"/>
      <c r="C236" s="30" t="n"/>
      <c r="D236" s="31" t="n"/>
      <c r="E236" s="30" t="n"/>
      <c r="F236" s="32">
        <f>IF(AND(ISNUMBER(D236),ISNUMBER(E236)),D236*E236,"")</f>
        <v/>
      </c>
      <c r="G236" s="31" t="n"/>
      <c r="H236" s="32">
        <f>IF(C236="SELL",F236-SUMIFS($F$2:$F$1000,$B$2:$B$1000,B236,$C$2:$C$1000,"&lt;&gt;SELL",$A$2:$A$1000,"&gt;"&amp;_xlfn.MAXIFS($A$2:$A$1000,$B$2:$B$1000,B236,$C$2:$C$1000,"SELL",$A$2:$A$1000,"&lt;"&amp;A236),$A$2:$A$1000,"&lt;="&amp;A236),"")</f>
        <v/>
      </c>
    </row>
    <row r="237">
      <c r="A237" s="29" t="n"/>
      <c r="B237" s="30" t="n"/>
      <c r="C237" s="30" t="n"/>
      <c r="D237" s="31" t="n"/>
      <c r="E237" s="30" t="n"/>
      <c r="F237" s="32">
        <f>IF(AND(ISNUMBER(D237),ISNUMBER(E237)),D237*E237,"")</f>
        <v/>
      </c>
      <c r="G237" s="31" t="n"/>
      <c r="H237" s="32">
        <f>IF(C237="SELL",F237-SUMIFS($F$2:$F$1000,$B$2:$B$1000,B237,$C$2:$C$1000,"&lt;&gt;SELL",$A$2:$A$1000,"&gt;"&amp;_xlfn.MAXIFS($A$2:$A$1000,$B$2:$B$1000,B237,$C$2:$C$1000,"SELL",$A$2:$A$1000,"&lt;"&amp;A237),$A$2:$A$1000,"&lt;="&amp;A237),"")</f>
        <v/>
      </c>
    </row>
    <row r="238">
      <c r="A238" s="29" t="n"/>
      <c r="B238" s="30" t="n"/>
      <c r="C238" s="30" t="n"/>
      <c r="D238" s="31" t="n"/>
      <c r="E238" s="30" t="n"/>
      <c r="F238" s="32">
        <f>IF(AND(ISNUMBER(D238),ISNUMBER(E238)),D238*E238,"")</f>
        <v/>
      </c>
      <c r="G238" s="31" t="n"/>
      <c r="H238" s="32">
        <f>IF(C238="SELL",F238-SUMIFS($F$2:$F$1000,$B$2:$B$1000,B238,$C$2:$C$1000,"&lt;&gt;SELL",$A$2:$A$1000,"&gt;"&amp;_xlfn.MAXIFS($A$2:$A$1000,$B$2:$B$1000,B238,$C$2:$C$1000,"SELL",$A$2:$A$1000,"&lt;"&amp;A238),$A$2:$A$1000,"&lt;="&amp;A238),"")</f>
        <v/>
      </c>
    </row>
    <row r="239">
      <c r="A239" s="29" t="n"/>
      <c r="B239" s="30" t="n"/>
      <c r="C239" s="30" t="n"/>
      <c r="D239" s="31" t="n"/>
      <c r="E239" s="30" t="n"/>
      <c r="F239" s="32">
        <f>IF(AND(ISNUMBER(D239),ISNUMBER(E239)),D239*E239,"")</f>
        <v/>
      </c>
      <c r="G239" s="31" t="n"/>
      <c r="H239" s="32">
        <f>IF(C239="SELL",F239-SUMIFS($F$2:$F$1000,$B$2:$B$1000,B239,$C$2:$C$1000,"&lt;&gt;SELL",$A$2:$A$1000,"&gt;"&amp;_xlfn.MAXIFS($A$2:$A$1000,$B$2:$B$1000,B239,$C$2:$C$1000,"SELL",$A$2:$A$1000,"&lt;"&amp;A239),$A$2:$A$1000,"&lt;="&amp;A239),"")</f>
        <v/>
      </c>
    </row>
    <row r="240">
      <c r="A240" s="29" t="n"/>
      <c r="B240" s="30" t="n"/>
      <c r="C240" s="30" t="n"/>
      <c r="D240" s="31" t="n"/>
      <c r="E240" s="30" t="n"/>
      <c r="F240" s="32">
        <f>IF(AND(ISNUMBER(D240),ISNUMBER(E240)),D240*E240,"")</f>
        <v/>
      </c>
      <c r="G240" s="31" t="n"/>
      <c r="H240" s="32">
        <f>IF(C240="SELL",F240-SUMIFS($F$2:$F$1000,$B$2:$B$1000,B240,$C$2:$C$1000,"&lt;&gt;SELL",$A$2:$A$1000,"&gt;"&amp;_xlfn.MAXIFS($A$2:$A$1000,$B$2:$B$1000,B240,$C$2:$C$1000,"SELL",$A$2:$A$1000,"&lt;"&amp;A240),$A$2:$A$1000,"&lt;="&amp;A240),"")</f>
        <v/>
      </c>
    </row>
    <row r="241">
      <c r="A241" s="29" t="n"/>
      <c r="B241" s="30" t="n"/>
      <c r="C241" s="30" t="n"/>
      <c r="D241" s="31" t="n"/>
      <c r="E241" s="30" t="n"/>
      <c r="F241" s="32">
        <f>IF(AND(ISNUMBER(D241),ISNUMBER(E241)),D241*E241,"")</f>
        <v/>
      </c>
      <c r="G241" s="31" t="n"/>
      <c r="H241" s="32">
        <f>IF(C241="SELL",F241-SUMIFS($F$2:$F$1000,$B$2:$B$1000,B241,$C$2:$C$1000,"&lt;&gt;SELL",$A$2:$A$1000,"&gt;"&amp;_xlfn.MAXIFS($A$2:$A$1000,$B$2:$B$1000,B241,$C$2:$C$1000,"SELL",$A$2:$A$1000,"&lt;"&amp;A241),$A$2:$A$1000,"&lt;="&amp;A241),"")</f>
        <v/>
      </c>
    </row>
    <row r="242">
      <c r="A242" s="29" t="n"/>
      <c r="B242" s="30" t="n"/>
      <c r="C242" s="30" t="n"/>
      <c r="D242" s="31" t="n"/>
      <c r="E242" s="30" t="n"/>
      <c r="F242" s="32">
        <f>IF(AND(ISNUMBER(D242),ISNUMBER(E242)),D242*E242,"")</f>
        <v/>
      </c>
      <c r="G242" s="31" t="n"/>
      <c r="H242" s="32">
        <f>IF(C242="SELL",F242-SUMIFS($F$2:$F$1000,$B$2:$B$1000,B242,$C$2:$C$1000,"&lt;&gt;SELL",$A$2:$A$1000,"&gt;"&amp;_xlfn.MAXIFS($A$2:$A$1000,$B$2:$B$1000,B242,$C$2:$C$1000,"SELL",$A$2:$A$1000,"&lt;"&amp;A242),$A$2:$A$1000,"&lt;="&amp;A242),"")</f>
        <v/>
      </c>
    </row>
    <row r="243">
      <c r="A243" s="29" t="n"/>
      <c r="B243" s="30" t="n"/>
      <c r="C243" s="30" t="n"/>
      <c r="D243" s="31" t="n"/>
      <c r="E243" s="30" t="n"/>
      <c r="F243" s="32">
        <f>IF(AND(ISNUMBER(D243),ISNUMBER(E243)),D243*E243,"")</f>
        <v/>
      </c>
      <c r="G243" s="31" t="n"/>
      <c r="H243" s="32">
        <f>IF(C243="SELL",F243-SUMIFS($F$2:$F$1000,$B$2:$B$1000,B243,$C$2:$C$1000,"&lt;&gt;SELL",$A$2:$A$1000,"&gt;"&amp;_xlfn.MAXIFS($A$2:$A$1000,$B$2:$B$1000,B243,$C$2:$C$1000,"SELL",$A$2:$A$1000,"&lt;"&amp;A243),$A$2:$A$1000,"&lt;="&amp;A243),"")</f>
        <v/>
      </c>
    </row>
    <row r="244">
      <c r="A244" s="29" t="n"/>
      <c r="B244" s="30" t="n"/>
      <c r="C244" s="30" t="n"/>
      <c r="D244" s="31" t="n"/>
      <c r="E244" s="30" t="n"/>
      <c r="F244" s="32">
        <f>IF(AND(ISNUMBER(D244),ISNUMBER(E244)),D244*E244,"")</f>
        <v/>
      </c>
      <c r="G244" s="31" t="n"/>
      <c r="H244" s="32">
        <f>IF(C244="SELL",F244-SUMIFS($F$2:$F$1000,$B$2:$B$1000,B244,$C$2:$C$1000,"&lt;&gt;SELL",$A$2:$A$1000,"&gt;"&amp;_xlfn.MAXIFS($A$2:$A$1000,$B$2:$B$1000,B244,$C$2:$C$1000,"SELL",$A$2:$A$1000,"&lt;"&amp;A244),$A$2:$A$1000,"&lt;="&amp;A244),"")</f>
        <v/>
      </c>
    </row>
    <row r="245">
      <c r="A245" s="29" t="n"/>
      <c r="B245" s="30" t="n"/>
      <c r="C245" s="30" t="n"/>
      <c r="D245" s="31" t="n"/>
      <c r="E245" s="30" t="n"/>
      <c r="F245" s="32">
        <f>IF(AND(ISNUMBER(D245),ISNUMBER(E245)),D245*E245,"")</f>
        <v/>
      </c>
      <c r="G245" s="31" t="n"/>
      <c r="H245" s="32">
        <f>IF(C245="SELL",F245-SUMIFS($F$2:$F$1000,$B$2:$B$1000,B245,$C$2:$C$1000,"&lt;&gt;SELL",$A$2:$A$1000,"&gt;"&amp;_xlfn.MAXIFS($A$2:$A$1000,$B$2:$B$1000,B245,$C$2:$C$1000,"SELL",$A$2:$A$1000,"&lt;"&amp;A245),$A$2:$A$1000,"&lt;="&amp;A245),"")</f>
        <v/>
      </c>
    </row>
    <row r="246">
      <c r="A246" s="29" t="n"/>
      <c r="B246" s="30" t="n"/>
      <c r="C246" s="30" t="n"/>
      <c r="D246" s="31" t="n"/>
      <c r="E246" s="30" t="n"/>
      <c r="F246" s="32">
        <f>IF(AND(ISNUMBER(D246),ISNUMBER(E246)),D246*E246,"")</f>
        <v/>
      </c>
      <c r="G246" s="31" t="n"/>
      <c r="H246" s="32">
        <f>IF(C246="SELL",F246-SUMIFS($F$2:$F$1000,$B$2:$B$1000,B246,$C$2:$C$1000,"&lt;&gt;SELL",$A$2:$A$1000,"&gt;"&amp;_xlfn.MAXIFS($A$2:$A$1000,$B$2:$B$1000,B246,$C$2:$C$1000,"SELL",$A$2:$A$1000,"&lt;"&amp;A246),$A$2:$A$1000,"&lt;="&amp;A246),"")</f>
        <v/>
      </c>
    </row>
    <row r="247">
      <c r="A247" s="29" t="n"/>
      <c r="B247" s="30" t="n"/>
      <c r="C247" s="30" t="n"/>
      <c r="D247" s="31" t="n"/>
      <c r="E247" s="30" t="n"/>
      <c r="F247" s="32">
        <f>IF(AND(ISNUMBER(D247),ISNUMBER(E247)),D247*E247,"")</f>
        <v/>
      </c>
      <c r="G247" s="31" t="n"/>
      <c r="H247" s="32">
        <f>IF(C247="SELL",F247-SUMIFS($F$2:$F$1000,$B$2:$B$1000,B247,$C$2:$C$1000,"&lt;&gt;SELL",$A$2:$A$1000,"&gt;"&amp;_xlfn.MAXIFS($A$2:$A$1000,$B$2:$B$1000,B247,$C$2:$C$1000,"SELL",$A$2:$A$1000,"&lt;"&amp;A247),$A$2:$A$1000,"&lt;="&amp;A247),"")</f>
        <v/>
      </c>
    </row>
    <row r="248">
      <c r="A248" s="29" t="n"/>
      <c r="B248" s="30" t="n"/>
      <c r="C248" s="30" t="n"/>
      <c r="D248" s="31" t="n"/>
      <c r="E248" s="30" t="n"/>
      <c r="F248" s="32">
        <f>IF(AND(ISNUMBER(D248),ISNUMBER(E248)),D248*E248,"")</f>
        <v/>
      </c>
      <c r="G248" s="31" t="n"/>
      <c r="H248" s="32">
        <f>IF(C248="SELL",F248-SUMIFS($F$2:$F$1000,$B$2:$B$1000,B248,$C$2:$C$1000,"&lt;&gt;SELL",$A$2:$A$1000,"&gt;"&amp;_xlfn.MAXIFS($A$2:$A$1000,$B$2:$B$1000,B248,$C$2:$C$1000,"SELL",$A$2:$A$1000,"&lt;"&amp;A248),$A$2:$A$1000,"&lt;="&amp;A248),"")</f>
        <v/>
      </c>
    </row>
    <row r="249">
      <c r="A249" s="29" t="n"/>
      <c r="B249" s="30" t="n"/>
      <c r="C249" s="30" t="n"/>
      <c r="D249" s="31" t="n"/>
      <c r="E249" s="30" t="n"/>
      <c r="F249" s="32">
        <f>IF(AND(ISNUMBER(D249),ISNUMBER(E249)),D249*E249,"")</f>
        <v/>
      </c>
      <c r="G249" s="31" t="n"/>
      <c r="H249" s="32">
        <f>IF(C249="SELL",F249-SUMIFS($F$2:$F$1000,$B$2:$B$1000,B249,$C$2:$C$1000,"&lt;&gt;SELL",$A$2:$A$1000,"&gt;"&amp;_xlfn.MAXIFS($A$2:$A$1000,$B$2:$B$1000,B249,$C$2:$C$1000,"SELL",$A$2:$A$1000,"&lt;"&amp;A249),$A$2:$A$1000,"&lt;="&amp;A249),"")</f>
        <v/>
      </c>
    </row>
    <row r="250">
      <c r="A250" s="29" t="n"/>
      <c r="B250" s="30" t="n"/>
      <c r="C250" s="30" t="n"/>
      <c r="D250" s="31" t="n"/>
      <c r="E250" s="30" t="n"/>
      <c r="F250" s="32">
        <f>IF(AND(ISNUMBER(D250),ISNUMBER(E250)),D250*E250,"")</f>
        <v/>
      </c>
      <c r="G250" s="31" t="n"/>
      <c r="H250" s="32">
        <f>IF(C250="SELL",F250-SUMIFS($F$2:$F$1000,$B$2:$B$1000,B250,$C$2:$C$1000,"&lt;&gt;SELL",$A$2:$A$1000,"&gt;"&amp;_xlfn.MAXIFS($A$2:$A$1000,$B$2:$B$1000,B250,$C$2:$C$1000,"SELL",$A$2:$A$1000,"&lt;"&amp;A250),$A$2:$A$1000,"&lt;="&amp;A250),"")</f>
        <v/>
      </c>
    </row>
    <row r="251">
      <c r="A251" s="29" t="n"/>
      <c r="B251" s="30" t="n"/>
      <c r="C251" s="30" t="n"/>
      <c r="D251" s="31" t="n"/>
      <c r="E251" s="30" t="n"/>
      <c r="F251" s="32">
        <f>IF(AND(ISNUMBER(D251),ISNUMBER(E251)),D251*E251,"")</f>
        <v/>
      </c>
      <c r="G251" s="31" t="n"/>
      <c r="H251" s="32">
        <f>IF(C251="SELL",F251-SUMIFS($F$2:$F$1000,$B$2:$B$1000,B251,$C$2:$C$1000,"&lt;&gt;SELL",$A$2:$A$1000,"&gt;"&amp;_xlfn.MAXIFS($A$2:$A$1000,$B$2:$B$1000,B251,$C$2:$C$1000,"SELL",$A$2:$A$1000,"&lt;"&amp;A251),$A$2:$A$1000,"&lt;="&amp;A251),"")</f>
        <v/>
      </c>
    </row>
    <row r="252">
      <c r="A252" s="29" t="n"/>
      <c r="B252" s="30" t="n"/>
      <c r="C252" s="30" t="n"/>
      <c r="D252" s="31" t="n"/>
      <c r="E252" s="30" t="n"/>
      <c r="F252" s="32">
        <f>IF(AND(ISNUMBER(D252),ISNUMBER(E252)),D252*E252,"")</f>
        <v/>
      </c>
      <c r="G252" s="31" t="n"/>
      <c r="H252" s="32">
        <f>IF(C252="SELL",F252-SUMIFS($F$2:$F$1000,$B$2:$B$1000,B252,$C$2:$C$1000,"&lt;&gt;SELL",$A$2:$A$1000,"&gt;"&amp;_xlfn.MAXIFS($A$2:$A$1000,$B$2:$B$1000,B252,$C$2:$C$1000,"SELL",$A$2:$A$1000,"&lt;"&amp;A252),$A$2:$A$1000,"&lt;="&amp;A252),"")</f>
        <v/>
      </c>
    </row>
    <row r="253">
      <c r="A253" s="29" t="n"/>
      <c r="B253" s="30" t="n"/>
      <c r="C253" s="30" t="n"/>
      <c r="D253" s="31" t="n"/>
      <c r="E253" s="30" t="n"/>
      <c r="F253" s="32">
        <f>IF(AND(ISNUMBER(D253),ISNUMBER(E253)),D253*E253,"")</f>
        <v/>
      </c>
      <c r="G253" s="31" t="n"/>
      <c r="H253" s="32">
        <f>IF(C253="SELL",F253-SUMIFS($F$2:$F$1000,$B$2:$B$1000,B253,$C$2:$C$1000,"&lt;&gt;SELL",$A$2:$A$1000,"&gt;"&amp;_xlfn.MAXIFS($A$2:$A$1000,$B$2:$B$1000,B253,$C$2:$C$1000,"SELL",$A$2:$A$1000,"&lt;"&amp;A253),$A$2:$A$1000,"&lt;="&amp;A253),"")</f>
        <v/>
      </c>
    </row>
    <row r="254">
      <c r="A254" s="29" t="n"/>
      <c r="B254" s="30" t="n"/>
      <c r="C254" s="30" t="n"/>
      <c r="D254" s="31" t="n"/>
      <c r="E254" s="30" t="n"/>
      <c r="F254" s="32">
        <f>IF(AND(ISNUMBER(D254),ISNUMBER(E254)),D254*E254,"")</f>
        <v/>
      </c>
      <c r="G254" s="31" t="n"/>
      <c r="H254" s="32">
        <f>IF(C254="SELL",F254-SUMIFS($F$2:$F$1000,$B$2:$B$1000,B254,$C$2:$C$1000,"&lt;&gt;SELL",$A$2:$A$1000,"&gt;"&amp;_xlfn.MAXIFS($A$2:$A$1000,$B$2:$B$1000,B254,$C$2:$C$1000,"SELL",$A$2:$A$1000,"&lt;"&amp;A254),$A$2:$A$1000,"&lt;="&amp;A254),"")</f>
        <v/>
      </c>
    </row>
    <row r="255">
      <c r="A255" s="29" t="n"/>
      <c r="B255" s="30" t="n"/>
      <c r="C255" s="30" t="n"/>
      <c r="D255" s="31" t="n"/>
      <c r="E255" s="30" t="n"/>
      <c r="F255" s="32">
        <f>IF(AND(ISNUMBER(D255),ISNUMBER(E255)),D255*E255,"")</f>
        <v/>
      </c>
      <c r="G255" s="31" t="n"/>
      <c r="H255" s="32">
        <f>IF(C255="SELL",F255-SUMIFS($F$2:$F$1000,$B$2:$B$1000,B255,$C$2:$C$1000,"&lt;&gt;SELL",$A$2:$A$1000,"&gt;"&amp;_xlfn.MAXIFS($A$2:$A$1000,$B$2:$B$1000,B255,$C$2:$C$1000,"SELL",$A$2:$A$1000,"&lt;"&amp;A255),$A$2:$A$1000,"&lt;="&amp;A255),"")</f>
        <v/>
      </c>
    </row>
    <row r="256">
      <c r="A256" s="29" t="n"/>
      <c r="B256" s="30" t="n"/>
      <c r="C256" s="30" t="n"/>
      <c r="D256" s="31" t="n"/>
      <c r="E256" s="30" t="n"/>
      <c r="F256" s="32">
        <f>IF(AND(ISNUMBER(D256),ISNUMBER(E256)),D256*E256,"")</f>
        <v/>
      </c>
      <c r="G256" s="31" t="n"/>
      <c r="H256" s="32">
        <f>IF(C256="SELL",F256-SUMIFS($F$2:$F$1000,$B$2:$B$1000,B256,$C$2:$C$1000,"&lt;&gt;SELL",$A$2:$A$1000,"&gt;"&amp;_xlfn.MAXIFS($A$2:$A$1000,$B$2:$B$1000,B256,$C$2:$C$1000,"SELL",$A$2:$A$1000,"&lt;"&amp;A256),$A$2:$A$1000,"&lt;="&amp;A256),"")</f>
        <v/>
      </c>
    </row>
    <row r="257">
      <c r="A257" s="29" t="n"/>
      <c r="B257" s="30" t="n"/>
      <c r="C257" s="30" t="n"/>
      <c r="D257" s="31" t="n"/>
      <c r="E257" s="30" t="n"/>
      <c r="F257" s="32">
        <f>IF(AND(ISNUMBER(D257),ISNUMBER(E257)),D257*E257,"")</f>
        <v/>
      </c>
      <c r="G257" s="31" t="n"/>
      <c r="H257" s="32">
        <f>IF(C257="SELL",F257-SUMIFS($F$2:$F$1000,$B$2:$B$1000,B257,$C$2:$C$1000,"&lt;&gt;SELL",$A$2:$A$1000,"&gt;"&amp;_xlfn.MAXIFS($A$2:$A$1000,$B$2:$B$1000,B257,$C$2:$C$1000,"SELL",$A$2:$A$1000,"&lt;"&amp;A257),$A$2:$A$1000,"&lt;="&amp;A257),"")</f>
        <v/>
      </c>
    </row>
    <row r="258">
      <c r="A258" s="29" t="n"/>
      <c r="B258" s="30" t="n"/>
      <c r="C258" s="30" t="n"/>
      <c r="D258" s="31" t="n"/>
      <c r="E258" s="30" t="n"/>
      <c r="F258" s="32">
        <f>IF(AND(ISNUMBER(D258),ISNUMBER(E258)),D258*E258,"")</f>
        <v/>
      </c>
      <c r="G258" s="31" t="n"/>
      <c r="H258" s="32">
        <f>IF(C258="SELL",F258-SUMIFS($F$2:$F$1000,$B$2:$B$1000,B258,$C$2:$C$1000,"&lt;&gt;SELL",$A$2:$A$1000,"&gt;"&amp;_xlfn.MAXIFS($A$2:$A$1000,$B$2:$B$1000,B258,$C$2:$C$1000,"SELL",$A$2:$A$1000,"&lt;"&amp;A258),$A$2:$A$1000,"&lt;="&amp;A258),"")</f>
        <v/>
      </c>
    </row>
    <row r="259">
      <c r="A259" s="29" t="n"/>
      <c r="B259" s="30" t="n"/>
      <c r="C259" s="30" t="n"/>
      <c r="D259" s="31" t="n"/>
      <c r="E259" s="30" t="n"/>
      <c r="F259" s="32">
        <f>IF(AND(ISNUMBER(D259),ISNUMBER(E259)),D259*E259,"")</f>
        <v/>
      </c>
      <c r="G259" s="31" t="n"/>
      <c r="H259" s="32">
        <f>IF(C259="SELL",F259-SUMIFS($F$2:$F$1000,$B$2:$B$1000,B259,$C$2:$C$1000,"&lt;&gt;SELL",$A$2:$A$1000,"&gt;"&amp;_xlfn.MAXIFS($A$2:$A$1000,$B$2:$B$1000,B259,$C$2:$C$1000,"SELL",$A$2:$A$1000,"&lt;"&amp;A259),$A$2:$A$1000,"&lt;="&amp;A259),"")</f>
        <v/>
      </c>
    </row>
    <row r="260">
      <c r="A260" s="29" t="n"/>
      <c r="B260" s="30" t="n"/>
      <c r="C260" s="30" t="n"/>
      <c r="D260" s="31" t="n"/>
      <c r="E260" s="30" t="n"/>
      <c r="F260" s="32">
        <f>IF(AND(ISNUMBER(D260),ISNUMBER(E260)),D260*E260,"")</f>
        <v/>
      </c>
      <c r="G260" s="31" t="n"/>
      <c r="H260" s="32">
        <f>IF(C260="SELL",F260-SUMIFS($F$2:$F$1000,$B$2:$B$1000,B260,$C$2:$C$1000,"&lt;&gt;SELL",$A$2:$A$1000,"&gt;"&amp;_xlfn.MAXIFS($A$2:$A$1000,$B$2:$B$1000,B260,$C$2:$C$1000,"SELL",$A$2:$A$1000,"&lt;"&amp;A260),$A$2:$A$1000,"&lt;="&amp;A260),"")</f>
        <v/>
      </c>
    </row>
    <row r="261">
      <c r="A261" s="29" t="n"/>
      <c r="B261" s="30" t="n"/>
      <c r="C261" s="30" t="n"/>
      <c r="D261" s="31" t="n"/>
      <c r="E261" s="30" t="n"/>
      <c r="F261" s="32">
        <f>IF(AND(ISNUMBER(D261),ISNUMBER(E261)),D261*E261,"")</f>
        <v/>
      </c>
      <c r="G261" s="31" t="n"/>
      <c r="H261" s="32">
        <f>IF(C261="SELL",F261-SUMIFS($F$2:$F$1000,$B$2:$B$1000,B261,$C$2:$C$1000,"&lt;&gt;SELL",$A$2:$A$1000,"&gt;"&amp;_xlfn.MAXIFS($A$2:$A$1000,$B$2:$B$1000,B261,$C$2:$C$1000,"SELL",$A$2:$A$1000,"&lt;"&amp;A261),$A$2:$A$1000,"&lt;="&amp;A261),"")</f>
        <v/>
      </c>
    </row>
    <row r="262">
      <c r="A262" s="29" t="n"/>
      <c r="B262" s="30" t="n"/>
      <c r="C262" s="30" t="n"/>
      <c r="D262" s="31" t="n"/>
      <c r="E262" s="30" t="n"/>
      <c r="F262" s="32">
        <f>IF(AND(ISNUMBER(D262),ISNUMBER(E262)),D262*E262,"")</f>
        <v/>
      </c>
      <c r="G262" s="31" t="n"/>
      <c r="H262" s="32">
        <f>IF(C262="SELL",F262-SUMIFS($F$2:$F$1000,$B$2:$B$1000,B262,$C$2:$C$1000,"&lt;&gt;SELL",$A$2:$A$1000,"&gt;"&amp;_xlfn.MAXIFS($A$2:$A$1000,$B$2:$B$1000,B262,$C$2:$C$1000,"SELL",$A$2:$A$1000,"&lt;"&amp;A262),$A$2:$A$1000,"&lt;="&amp;A262),"")</f>
        <v/>
      </c>
    </row>
    <row r="263">
      <c r="A263" s="29" t="n"/>
      <c r="B263" s="30" t="n"/>
      <c r="C263" s="30" t="n"/>
      <c r="D263" s="31" t="n"/>
      <c r="E263" s="30" t="n"/>
      <c r="F263" s="32">
        <f>IF(AND(ISNUMBER(D263),ISNUMBER(E263)),D263*E263,"")</f>
        <v/>
      </c>
      <c r="G263" s="31" t="n"/>
      <c r="H263" s="32">
        <f>IF(C263="SELL",F263-SUMIFS($F$2:$F$1000,$B$2:$B$1000,B263,$C$2:$C$1000,"&lt;&gt;SELL",$A$2:$A$1000,"&gt;"&amp;_xlfn.MAXIFS($A$2:$A$1000,$B$2:$B$1000,B263,$C$2:$C$1000,"SELL",$A$2:$A$1000,"&lt;"&amp;A263),$A$2:$A$1000,"&lt;="&amp;A263),"")</f>
        <v/>
      </c>
    </row>
    <row r="264">
      <c r="A264" s="29" t="n"/>
      <c r="B264" s="30" t="n"/>
      <c r="C264" s="30" t="n"/>
      <c r="D264" s="31" t="n"/>
      <c r="E264" s="30" t="n"/>
      <c r="F264" s="32">
        <f>IF(AND(ISNUMBER(D264),ISNUMBER(E264)),D264*E264,"")</f>
        <v/>
      </c>
      <c r="G264" s="31" t="n"/>
      <c r="H264" s="32">
        <f>IF(C264="SELL",F264-SUMIFS($F$2:$F$1000,$B$2:$B$1000,B264,$C$2:$C$1000,"&lt;&gt;SELL",$A$2:$A$1000,"&gt;"&amp;_xlfn.MAXIFS($A$2:$A$1000,$B$2:$B$1000,B264,$C$2:$C$1000,"SELL",$A$2:$A$1000,"&lt;"&amp;A264),$A$2:$A$1000,"&lt;="&amp;A264),"")</f>
        <v/>
      </c>
    </row>
    <row r="265">
      <c r="A265" s="29" t="n"/>
      <c r="B265" s="30" t="n"/>
      <c r="C265" s="30" t="n"/>
      <c r="D265" s="31" t="n"/>
      <c r="E265" s="30" t="n"/>
      <c r="F265" s="32">
        <f>IF(AND(ISNUMBER(D265),ISNUMBER(E265)),D265*E265,"")</f>
        <v/>
      </c>
      <c r="G265" s="31" t="n"/>
      <c r="H265" s="32">
        <f>IF(C265="SELL",F265-SUMIFS($F$2:$F$1000,$B$2:$B$1000,B265,$C$2:$C$1000,"&lt;&gt;SELL",$A$2:$A$1000,"&gt;"&amp;_xlfn.MAXIFS($A$2:$A$1000,$B$2:$B$1000,B265,$C$2:$C$1000,"SELL",$A$2:$A$1000,"&lt;"&amp;A265),$A$2:$A$1000,"&lt;="&amp;A265),"")</f>
        <v/>
      </c>
    </row>
    <row r="266">
      <c r="A266" s="29" t="n"/>
      <c r="B266" s="30" t="n"/>
      <c r="C266" s="30" t="n"/>
      <c r="D266" s="31" t="n"/>
      <c r="E266" s="30" t="n"/>
      <c r="F266" s="32">
        <f>IF(AND(ISNUMBER(D266),ISNUMBER(E266)),D266*E266,"")</f>
        <v/>
      </c>
      <c r="G266" s="31" t="n"/>
      <c r="H266" s="32">
        <f>IF(C266="SELL",F266-SUMIFS($F$2:$F$1000,$B$2:$B$1000,B266,$C$2:$C$1000,"&lt;&gt;SELL",$A$2:$A$1000,"&gt;"&amp;_xlfn.MAXIFS($A$2:$A$1000,$B$2:$B$1000,B266,$C$2:$C$1000,"SELL",$A$2:$A$1000,"&lt;"&amp;A266),$A$2:$A$1000,"&lt;="&amp;A266),"")</f>
        <v/>
      </c>
    </row>
    <row r="267">
      <c r="A267" s="29" t="n"/>
      <c r="B267" s="30" t="n"/>
      <c r="C267" s="30" t="n"/>
      <c r="D267" s="31" t="n"/>
      <c r="E267" s="30" t="n"/>
      <c r="F267" s="32">
        <f>IF(AND(ISNUMBER(D267),ISNUMBER(E267)),D267*E267,"")</f>
        <v/>
      </c>
      <c r="G267" s="31" t="n"/>
      <c r="H267" s="32">
        <f>IF(C267="SELL",F267-SUMIFS($F$2:$F$1000,$B$2:$B$1000,B267,$C$2:$C$1000,"&lt;&gt;SELL",$A$2:$A$1000,"&gt;"&amp;_xlfn.MAXIFS($A$2:$A$1000,$B$2:$B$1000,B267,$C$2:$C$1000,"SELL",$A$2:$A$1000,"&lt;"&amp;A267),$A$2:$A$1000,"&lt;="&amp;A267),"")</f>
        <v/>
      </c>
    </row>
    <row r="268">
      <c r="A268" s="29" t="n"/>
      <c r="B268" s="30" t="n"/>
      <c r="C268" s="30" t="n"/>
      <c r="D268" s="31" t="n"/>
      <c r="E268" s="30" t="n"/>
      <c r="F268" s="32">
        <f>IF(AND(ISNUMBER(D268),ISNUMBER(E268)),D268*E268,"")</f>
        <v/>
      </c>
      <c r="G268" s="31" t="n"/>
      <c r="H268" s="32">
        <f>IF(C268="SELL",F268-SUMIFS($F$2:$F$1000,$B$2:$B$1000,B268,$C$2:$C$1000,"&lt;&gt;SELL",$A$2:$A$1000,"&gt;"&amp;_xlfn.MAXIFS($A$2:$A$1000,$B$2:$B$1000,B268,$C$2:$C$1000,"SELL",$A$2:$A$1000,"&lt;"&amp;A268),$A$2:$A$1000,"&lt;="&amp;A268),"")</f>
        <v/>
      </c>
    </row>
    <row r="269">
      <c r="A269" s="29" t="n"/>
      <c r="B269" s="30" t="n"/>
      <c r="C269" s="30" t="n"/>
      <c r="D269" s="31" t="n"/>
      <c r="E269" s="30" t="n"/>
      <c r="F269" s="32">
        <f>IF(AND(ISNUMBER(D269),ISNUMBER(E269)),D269*E269,"")</f>
        <v/>
      </c>
      <c r="G269" s="31" t="n"/>
      <c r="H269" s="32">
        <f>IF(C269="SELL",F269-SUMIFS($F$2:$F$1000,$B$2:$B$1000,B269,$C$2:$C$1000,"&lt;&gt;SELL",$A$2:$A$1000,"&gt;"&amp;_xlfn.MAXIFS($A$2:$A$1000,$B$2:$B$1000,B269,$C$2:$C$1000,"SELL",$A$2:$A$1000,"&lt;"&amp;A269),$A$2:$A$1000,"&lt;="&amp;A269),"")</f>
        <v/>
      </c>
    </row>
    <row r="270">
      <c r="A270" s="29" t="n"/>
      <c r="B270" s="30" t="n"/>
      <c r="C270" s="30" t="n"/>
      <c r="D270" s="31" t="n"/>
      <c r="E270" s="30" t="n"/>
      <c r="F270" s="32">
        <f>IF(AND(ISNUMBER(D270),ISNUMBER(E270)),D270*E270,"")</f>
        <v/>
      </c>
      <c r="G270" s="31" t="n"/>
      <c r="H270" s="32">
        <f>IF(C270="SELL",F270-SUMIFS($F$2:$F$1000,$B$2:$B$1000,B270,$C$2:$C$1000,"&lt;&gt;SELL",$A$2:$A$1000,"&gt;"&amp;_xlfn.MAXIFS($A$2:$A$1000,$B$2:$B$1000,B270,$C$2:$C$1000,"SELL",$A$2:$A$1000,"&lt;"&amp;A270),$A$2:$A$1000,"&lt;="&amp;A270),"")</f>
        <v/>
      </c>
    </row>
    <row r="271">
      <c r="A271" s="29" t="n"/>
      <c r="B271" s="30" t="n"/>
      <c r="C271" s="30" t="n"/>
      <c r="D271" s="31" t="n"/>
      <c r="E271" s="30" t="n"/>
      <c r="F271" s="32">
        <f>IF(AND(ISNUMBER(D271),ISNUMBER(E271)),D271*E271,"")</f>
        <v/>
      </c>
      <c r="G271" s="31" t="n"/>
      <c r="H271" s="32">
        <f>IF(C271="SELL",F271-SUMIFS($F$2:$F$1000,$B$2:$B$1000,B271,$C$2:$C$1000,"&lt;&gt;SELL",$A$2:$A$1000,"&gt;"&amp;_xlfn.MAXIFS($A$2:$A$1000,$B$2:$B$1000,B271,$C$2:$C$1000,"SELL",$A$2:$A$1000,"&lt;"&amp;A271),$A$2:$A$1000,"&lt;="&amp;A271),"")</f>
        <v/>
      </c>
    </row>
    <row r="272">
      <c r="A272" s="29" t="n"/>
      <c r="B272" s="30" t="n"/>
      <c r="C272" s="30" t="n"/>
      <c r="D272" s="31" t="n"/>
      <c r="E272" s="30" t="n"/>
      <c r="F272" s="32">
        <f>IF(AND(ISNUMBER(D272),ISNUMBER(E272)),D272*E272,"")</f>
        <v/>
      </c>
      <c r="G272" s="31" t="n"/>
      <c r="H272" s="32">
        <f>IF(C272="SELL",F272-SUMIFS($F$2:$F$1000,$B$2:$B$1000,B272,$C$2:$C$1000,"&lt;&gt;SELL",$A$2:$A$1000,"&gt;"&amp;_xlfn.MAXIFS($A$2:$A$1000,$B$2:$B$1000,B272,$C$2:$C$1000,"SELL",$A$2:$A$1000,"&lt;"&amp;A272),$A$2:$A$1000,"&lt;="&amp;A272),"")</f>
        <v/>
      </c>
    </row>
    <row r="273">
      <c r="A273" s="29" t="n"/>
      <c r="B273" s="30" t="n"/>
      <c r="C273" s="30" t="n"/>
      <c r="D273" s="31" t="n"/>
      <c r="E273" s="30" t="n"/>
      <c r="F273" s="32">
        <f>IF(AND(ISNUMBER(D273),ISNUMBER(E273)),D273*E273,"")</f>
        <v/>
      </c>
      <c r="G273" s="31" t="n"/>
      <c r="H273" s="32">
        <f>IF(C273="SELL",F273-SUMIFS($F$2:$F$1000,$B$2:$B$1000,B273,$C$2:$C$1000,"&lt;&gt;SELL",$A$2:$A$1000,"&gt;"&amp;_xlfn.MAXIFS($A$2:$A$1000,$B$2:$B$1000,B273,$C$2:$C$1000,"SELL",$A$2:$A$1000,"&lt;"&amp;A273),$A$2:$A$1000,"&lt;="&amp;A273),"")</f>
        <v/>
      </c>
    </row>
    <row r="274">
      <c r="A274" s="29" t="n"/>
      <c r="B274" s="30" t="n"/>
      <c r="C274" s="30" t="n"/>
      <c r="D274" s="31" t="n"/>
      <c r="E274" s="30" t="n"/>
      <c r="F274" s="32">
        <f>IF(AND(ISNUMBER(D274),ISNUMBER(E274)),D274*E274,"")</f>
        <v/>
      </c>
      <c r="G274" s="31" t="n"/>
      <c r="H274" s="32">
        <f>IF(C274="SELL",F274-SUMIFS($F$2:$F$1000,$B$2:$B$1000,B274,$C$2:$C$1000,"&lt;&gt;SELL",$A$2:$A$1000,"&gt;"&amp;_xlfn.MAXIFS($A$2:$A$1000,$B$2:$B$1000,B274,$C$2:$C$1000,"SELL",$A$2:$A$1000,"&lt;"&amp;A274),$A$2:$A$1000,"&lt;="&amp;A274),"")</f>
        <v/>
      </c>
    </row>
    <row r="275">
      <c r="A275" s="29" t="n"/>
      <c r="B275" s="30" t="n"/>
      <c r="C275" s="30" t="n"/>
      <c r="D275" s="31" t="n"/>
      <c r="E275" s="30" t="n"/>
      <c r="F275" s="32">
        <f>IF(AND(ISNUMBER(D275),ISNUMBER(E275)),D275*E275,"")</f>
        <v/>
      </c>
      <c r="G275" s="31" t="n"/>
      <c r="H275" s="32">
        <f>IF(C275="SELL",F275-SUMIFS($F$2:$F$1000,$B$2:$B$1000,B275,$C$2:$C$1000,"&lt;&gt;SELL",$A$2:$A$1000,"&gt;"&amp;_xlfn.MAXIFS($A$2:$A$1000,$B$2:$B$1000,B275,$C$2:$C$1000,"SELL",$A$2:$A$1000,"&lt;"&amp;A275),$A$2:$A$1000,"&lt;="&amp;A275),"")</f>
        <v/>
      </c>
    </row>
    <row r="276">
      <c r="A276" s="29" t="n"/>
      <c r="B276" s="30" t="n"/>
      <c r="C276" s="30" t="n"/>
      <c r="D276" s="31" t="n"/>
      <c r="E276" s="30" t="n"/>
      <c r="F276" s="32">
        <f>IF(AND(ISNUMBER(D276),ISNUMBER(E276)),D276*E276,"")</f>
        <v/>
      </c>
      <c r="G276" s="31" t="n"/>
      <c r="H276" s="32">
        <f>IF(C276="SELL",F276-SUMIFS($F$2:$F$1000,$B$2:$B$1000,B276,$C$2:$C$1000,"&lt;&gt;SELL",$A$2:$A$1000,"&gt;"&amp;_xlfn.MAXIFS($A$2:$A$1000,$B$2:$B$1000,B276,$C$2:$C$1000,"SELL",$A$2:$A$1000,"&lt;"&amp;A276),$A$2:$A$1000,"&lt;="&amp;A276),"")</f>
        <v/>
      </c>
    </row>
    <row r="277">
      <c r="A277" s="29" t="n"/>
      <c r="B277" s="30" t="n"/>
      <c r="C277" s="30" t="n"/>
      <c r="D277" s="31" t="n"/>
      <c r="E277" s="30" t="n"/>
      <c r="F277" s="32">
        <f>IF(AND(ISNUMBER(D277),ISNUMBER(E277)),D277*E277,"")</f>
        <v/>
      </c>
      <c r="G277" s="31" t="n"/>
      <c r="H277" s="32">
        <f>IF(C277="SELL",F277-SUMIFS($F$2:$F$1000,$B$2:$B$1000,B277,$C$2:$C$1000,"&lt;&gt;SELL",$A$2:$A$1000,"&gt;"&amp;_xlfn.MAXIFS($A$2:$A$1000,$B$2:$B$1000,B277,$C$2:$C$1000,"SELL",$A$2:$A$1000,"&lt;"&amp;A277),$A$2:$A$1000,"&lt;="&amp;A277),"")</f>
        <v/>
      </c>
    </row>
    <row r="278">
      <c r="A278" s="29" t="n"/>
      <c r="B278" s="30" t="n"/>
      <c r="C278" s="30" t="n"/>
      <c r="D278" s="31" t="n"/>
      <c r="E278" s="30" t="n"/>
      <c r="F278" s="32">
        <f>IF(AND(ISNUMBER(D278),ISNUMBER(E278)),D278*E278,"")</f>
        <v/>
      </c>
      <c r="G278" s="31" t="n"/>
      <c r="H278" s="32">
        <f>IF(C278="SELL",F278-SUMIFS($F$2:$F$1000,$B$2:$B$1000,B278,$C$2:$C$1000,"&lt;&gt;SELL",$A$2:$A$1000,"&gt;"&amp;_xlfn.MAXIFS($A$2:$A$1000,$B$2:$B$1000,B278,$C$2:$C$1000,"SELL",$A$2:$A$1000,"&lt;"&amp;A278),$A$2:$A$1000,"&lt;="&amp;A278),"")</f>
        <v/>
      </c>
    </row>
    <row r="279">
      <c r="A279" s="29" t="n"/>
      <c r="B279" s="30" t="n"/>
      <c r="C279" s="30" t="n"/>
      <c r="D279" s="31" t="n"/>
      <c r="E279" s="30" t="n"/>
      <c r="F279" s="32">
        <f>IF(AND(ISNUMBER(D279),ISNUMBER(E279)),D279*E279,"")</f>
        <v/>
      </c>
      <c r="G279" s="31" t="n"/>
      <c r="H279" s="32">
        <f>IF(C279="SELL",F279-SUMIFS($F$2:$F$1000,$B$2:$B$1000,B279,$C$2:$C$1000,"&lt;&gt;SELL",$A$2:$A$1000,"&gt;"&amp;_xlfn.MAXIFS($A$2:$A$1000,$B$2:$B$1000,B279,$C$2:$C$1000,"SELL",$A$2:$A$1000,"&lt;"&amp;A279),$A$2:$A$1000,"&lt;="&amp;A279),"")</f>
        <v/>
      </c>
    </row>
    <row r="280">
      <c r="A280" s="29" t="n"/>
      <c r="B280" s="30" t="n"/>
      <c r="C280" s="30" t="n"/>
      <c r="D280" s="31" t="n"/>
      <c r="E280" s="30" t="n"/>
      <c r="F280" s="32">
        <f>IF(AND(ISNUMBER(D280),ISNUMBER(E280)),D280*E280,"")</f>
        <v/>
      </c>
      <c r="G280" s="31" t="n"/>
      <c r="H280" s="32">
        <f>IF(C280="SELL",F280-SUMIFS($F$2:$F$1000,$B$2:$B$1000,B280,$C$2:$C$1000,"&lt;&gt;SELL",$A$2:$A$1000,"&gt;"&amp;_xlfn.MAXIFS($A$2:$A$1000,$B$2:$B$1000,B280,$C$2:$C$1000,"SELL",$A$2:$A$1000,"&lt;"&amp;A280),$A$2:$A$1000,"&lt;="&amp;A280),"")</f>
        <v/>
      </c>
    </row>
    <row r="281">
      <c r="A281" s="29" t="n"/>
      <c r="B281" s="30" t="n"/>
      <c r="C281" s="30" t="n"/>
      <c r="D281" s="31" t="n"/>
      <c r="E281" s="30" t="n"/>
      <c r="F281" s="32">
        <f>IF(AND(ISNUMBER(D281),ISNUMBER(E281)),D281*E281,"")</f>
        <v/>
      </c>
      <c r="G281" s="31" t="n"/>
      <c r="H281" s="32">
        <f>IF(C281="SELL",F281-SUMIFS($F$2:$F$1000,$B$2:$B$1000,B281,$C$2:$C$1000,"&lt;&gt;SELL",$A$2:$A$1000,"&gt;"&amp;_xlfn.MAXIFS($A$2:$A$1000,$B$2:$B$1000,B281,$C$2:$C$1000,"SELL",$A$2:$A$1000,"&lt;"&amp;A281),$A$2:$A$1000,"&lt;="&amp;A281),"")</f>
        <v/>
      </c>
    </row>
    <row r="282">
      <c r="A282" s="29" t="n"/>
      <c r="B282" s="30" t="n"/>
      <c r="C282" s="30" t="n"/>
      <c r="D282" s="31" t="n"/>
      <c r="E282" s="30" t="n"/>
      <c r="F282" s="32">
        <f>IF(AND(ISNUMBER(D282),ISNUMBER(E282)),D282*E282,"")</f>
        <v/>
      </c>
      <c r="G282" s="31" t="n"/>
      <c r="H282" s="32">
        <f>IF(C282="SELL",F282-SUMIFS($F$2:$F$1000,$B$2:$B$1000,B282,$C$2:$C$1000,"&lt;&gt;SELL",$A$2:$A$1000,"&gt;"&amp;_xlfn.MAXIFS($A$2:$A$1000,$B$2:$B$1000,B282,$C$2:$C$1000,"SELL",$A$2:$A$1000,"&lt;"&amp;A282),$A$2:$A$1000,"&lt;="&amp;A282),"")</f>
        <v/>
      </c>
    </row>
    <row r="283">
      <c r="A283" s="29" t="n"/>
      <c r="B283" s="30" t="n"/>
      <c r="C283" s="30" t="n"/>
      <c r="D283" s="31" t="n"/>
      <c r="E283" s="30" t="n"/>
      <c r="F283" s="32">
        <f>IF(AND(ISNUMBER(D283),ISNUMBER(E283)),D283*E283,"")</f>
        <v/>
      </c>
      <c r="G283" s="31" t="n"/>
      <c r="H283" s="32">
        <f>IF(C283="SELL",F283-SUMIFS($F$2:$F$1000,$B$2:$B$1000,B283,$C$2:$C$1000,"&lt;&gt;SELL",$A$2:$A$1000,"&gt;"&amp;_xlfn.MAXIFS($A$2:$A$1000,$B$2:$B$1000,B283,$C$2:$C$1000,"SELL",$A$2:$A$1000,"&lt;"&amp;A283),$A$2:$A$1000,"&lt;="&amp;A283),"")</f>
        <v/>
      </c>
    </row>
    <row r="284">
      <c r="A284" s="29" t="n"/>
      <c r="B284" s="30" t="n"/>
      <c r="C284" s="30" t="n"/>
      <c r="D284" s="31" t="n"/>
      <c r="E284" s="30" t="n"/>
      <c r="F284" s="32">
        <f>IF(AND(ISNUMBER(D284),ISNUMBER(E284)),D284*E284,"")</f>
        <v/>
      </c>
      <c r="G284" s="31" t="n"/>
      <c r="H284" s="32">
        <f>IF(C284="SELL",F284-SUMIFS($F$2:$F$1000,$B$2:$B$1000,B284,$C$2:$C$1000,"&lt;&gt;SELL",$A$2:$A$1000,"&gt;"&amp;_xlfn.MAXIFS($A$2:$A$1000,$B$2:$B$1000,B284,$C$2:$C$1000,"SELL",$A$2:$A$1000,"&lt;"&amp;A284),$A$2:$A$1000,"&lt;="&amp;A284),"")</f>
        <v/>
      </c>
    </row>
    <row r="285">
      <c r="A285" s="29" t="n"/>
      <c r="B285" s="30" t="n"/>
      <c r="C285" s="30" t="n"/>
      <c r="D285" s="31" t="n"/>
      <c r="E285" s="30" t="n"/>
      <c r="F285" s="32">
        <f>IF(AND(ISNUMBER(D285),ISNUMBER(E285)),D285*E285,"")</f>
        <v/>
      </c>
      <c r="G285" s="31" t="n"/>
      <c r="H285" s="32">
        <f>IF(C285="SELL",F285-SUMIFS($F$2:$F$1000,$B$2:$B$1000,B285,$C$2:$C$1000,"&lt;&gt;SELL",$A$2:$A$1000,"&gt;"&amp;_xlfn.MAXIFS($A$2:$A$1000,$B$2:$B$1000,B285,$C$2:$C$1000,"SELL",$A$2:$A$1000,"&lt;"&amp;A285),$A$2:$A$1000,"&lt;="&amp;A285),"")</f>
        <v/>
      </c>
    </row>
    <row r="286">
      <c r="A286" s="29" t="n"/>
      <c r="B286" s="30" t="n"/>
      <c r="C286" s="30" t="n"/>
      <c r="D286" s="31" t="n"/>
      <c r="E286" s="30" t="n"/>
      <c r="F286" s="32">
        <f>IF(AND(ISNUMBER(D286),ISNUMBER(E286)),D286*E286,"")</f>
        <v/>
      </c>
      <c r="G286" s="31" t="n"/>
      <c r="H286" s="32">
        <f>IF(C286="SELL",F286-SUMIFS($F$2:$F$1000,$B$2:$B$1000,B286,$C$2:$C$1000,"&lt;&gt;SELL",$A$2:$A$1000,"&gt;"&amp;_xlfn.MAXIFS($A$2:$A$1000,$B$2:$B$1000,B286,$C$2:$C$1000,"SELL",$A$2:$A$1000,"&lt;"&amp;A286),$A$2:$A$1000,"&lt;="&amp;A286),"")</f>
        <v/>
      </c>
    </row>
    <row r="287">
      <c r="A287" s="29" t="n"/>
      <c r="B287" s="30" t="n"/>
      <c r="C287" s="30" t="n"/>
      <c r="D287" s="31" t="n"/>
      <c r="E287" s="30" t="n"/>
      <c r="F287" s="32">
        <f>IF(AND(ISNUMBER(D287),ISNUMBER(E287)),D287*E287,"")</f>
        <v/>
      </c>
      <c r="G287" s="31" t="n"/>
      <c r="H287" s="32">
        <f>IF(C287="SELL",F287-SUMIFS($F$2:$F$1000,$B$2:$B$1000,B287,$C$2:$C$1000,"&lt;&gt;SELL",$A$2:$A$1000,"&gt;"&amp;_xlfn.MAXIFS($A$2:$A$1000,$B$2:$B$1000,B287,$C$2:$C$1000,"SELL",$A$2:$A$1000,"&lt;"&amp;A287),$A$2:$A$1000,"&lt;="&amp;A287),"")</f>
        <v/>
      </c>
    </row>
    <row r="288">
      <c r="A288" s="29" t="n"/>
      <c r="B288" s="30" t="n"/>
      <c r="C288" s="30" t="n"/>
      <c r="D288" s="31" t="n"/>
      <c r="E288" s="30" t="n"/>
      <c r="F288" s="32">
        <f>IF(AND(ISNUMBER(D288),ISNUMBER(E288)),D288*E288,"")</f>
        <v/>
      </c>
      <c r="G288" s="31" t="n"/>
      <c r="H288" s="32">
        <f>IF(C288="SELL",F288-SUMIFS($F$2:$F$1000,$B$2:$B$1000,B288,$C$2:$C$1000,"&lt;&gt;SELL",$A$2:$A$1000,"&gt;"&amp;_xlfn.MAXIFS($A$2:$A$1000,$B$2:$B$1000,B288,$C$2:$C$1000,"SELL",$A$2:$A$1000,"&lt;"&amp;A288),$A$2:$A$1000,"&lt;="&amp;A288),"")</f>
        <v/>
      </c>
    </row>
    <row r="289">
      <c r="A289" s="29" t="n"/>
      <c r="B289" s="30" t="n"/>
      <c r="C289" s="30" t="n"/>
      <c r="D289" s="31" t="n"/>
      <c r="E289" s="30" t="n"/>
      <c r="F289" s="32">
        <f>IF(AND(ISNUMBER(D289),ISNUMBER(E289)),D289*E289,"")</f>
        <v/>
      </c>
      <c r="G289" s="31" t="n"/>
      <c r="H289" s="32">
        <f>IF(C289="SELL",F289-SUMIFS($F$2:$F$1000,$B$2:$B$1000,B289,$C$2:$C$1000,"&lt;&gt;SELL",$A$2:$A$1000,"&gt;"&amp;_xlfn.MAXIFS($A$2:$A$1000,$B$2:$B$1000,B289,$C$2:$C$1000,"SELL",$A$2:$A$1000,"&lt;"&amp;A289),$A$2:$A$1000,"&lt;="&amp;A289),"")</f>
        <v/>
      </c>
    </row>
    <row r="290">
      <c r="A290" s="29" t="n"/>
      <c r="B290" s="30" t="n"/>
      <c r="C290" s="30" t="n"/>
      <c r="D290" s="31" t="n"/>
      <c r="E290" s="30" t="n"/>
      <c r="F290" s="32">
        <f>IF(AND(ISNUMBER(D290),ISNUMBER(E290)),D290*E290,"")</f>
        <v/>
      </c>
      <c r="G290" s="31" t="n"/>
      <c r="H290" s="32">
        <f>IF(C290="SELL",F290-SUMIFS($F$2:$F$1000,$B$2:$B$1000,B290,$C$2:$C$1000,"&lt;&gt;SELL",$A$2:$A$1000,"&gt;"&amp;_xlfn.MAXIFS($A$2:$A$1000,$B$2:$B$1000,B290,$C$2:$C$1000,"SELL",$A$2:$A$1000,"&lt;"&amp;A290),$A$2:$A$1000,"&lt;="&amp;A290),"")</f>
        <v/>
      </c>
    </row>
    <row r="291">
      <c r="A291" s="29" t="n"/>
      <c r="B291" s="30" t="n"/>
      <c r="C291" s="30" t="n"/>
      <c r="D291" s="31" t="n"/>
      <c r="E291" s="30" t="n"/>
      <c r="F291" s="32">
        <f>IF(AND(ISNUMBER(D291),ISNUMBER(E291)),D291*E291,"")</f>
        <v/>
      </c>
      <c r="G291" s="31" t="n"/>
      <c r="H291" s="32">
        <f>IF(C291="SELL",F291-SUMIFS($F$2:$F$1000,$B$2:$B$1000,B291,$C$2:$C$1000,"&lt;&gt;SELL",$A$2:$A$1000,"&gt;"&amp;_xlfn.MAXIFS($A$2:$A$1000,$B$2:$B$1000,B291,$C$2:$C$1000,"SELL",$A$2:$A$1000,"&lt;"&amp;A291),$A$2:$A$1000,"&lt;="&amp;A291),"")</f>
        <v/>
      </c>
    </row>
    <row r="292">
      <c r="A292" s="29" t="n"/>
      <c r="B292" s="30" t="n"/>
      <c r="C292" s="30" t="n"/>
      <c r="D292" s="31" t="n"/>
      <c r="E292" s="30" t="n"/>
      <c r="F292" s="32">
        <f>IF(AND(ISNUMBER(D292),ISNUMBER(E292)),D292*E292,"")</f>
        <v/>
      </c>
      <c r="G292" s="31" t="n"/>
      <c r="H292" s="32">
        <f>IF(C292="SELL",F292-SUMIFS($F$2:$F$1000,$B$2:$B$1000,B292,$C$2:$C$1000,"&lt;&gt;SELL",$A$2:$A$1000,"&gt;"&amp;_xlfn.MAXIFS($A$2:$A$1000,$B$2:$B$1000,B292,$C$2:$C$1000,"SELL",$A$2:$A$1000,"&lt;"&amp;A292),$A$2:$A$1000,"&lt;="&amp;A292),"")</f>
        <v/>
      </c>
    </row>
    <row r="293">
      <c r="A293" s="29" t="n"/>
      <c r="B293" s="30" t="n"/>
      <c r="C293" s="30" t="n"/>
      <c r="D293" s="31" t="n"/>
      <c r="E293" s="30" t="n"/>
      <c r="F293" s="32">
        <f>IF(AND(ISNUMBER(D293),ISNUMBER(E293)),D293*E293,"")</f>
        <v/>
      </c>
      <c r="G293" s="31" t="n"/>
      <c r="H293" s="32">
        <f>IF(C293="SELL",F293-SUMIFS($F$2:$F$1000,$B$2:$B$1000,B293,$C$2:$C$1000,"&lt;&gt;SELL",$A$2:$A$1000,"&gt;"&amp;_xlfn.MAXIFS($A$2:$A$1000,$B$2:$B$1000,B293,$C$2:$C$1000,"SELL",$A$2:$A$1000,"&lt;"&amp;A293),$A$2:$A$1000,"&lt;="&amp;A293),"")</f>
        <v/>
      </c>
    </row>
    <row r="294">
      <c r="A294" s="29" t="n"/>
      <c r="B294" s="30" t="n"/>
      <c r="C294" s="30" t="n"/>
      <c r="D294" s="31" t="n"/>
      <c r="E294" s="30" t="n"/>
      <c r="F294" s="32">
        <f>IF(AND(ISNUMBER(D294),ISNUMBER(E294)),D294*E294,"")</f>
        <v/>
      </c>
      <c r="G294" s="31" t="n"/>
      <c r="H294" s="32">
        <f>IF(C294="SELL",F294-SUMIFS($F$2:$F$1000,$B$2:$B$1000,B294,$C$2:$C$1000,"&lt;&gt;SELL",$A$2:$A$1000,"&gt;"&amp;_xlfn.MAXIFS($A$2:$A$1000,$B$2:$B$1000,B294,$C$2:$C$1000,"SELL",$A$2:$A$1000,"&lt;"&amp;A294),$A$2:$A$1000,"&lt;="&amp;A294),"")</f>
        <v/>
      </c>
    </row>
    <row r="295">
      <c r="A295" s="29" t="n"/>
      <c r="B295" s="30" t="n"/>
      <c r="C295" s="30" t="n"/>
      <c r="D295" s="31" t="n"/>
      <c r="E295" s="30" t="n"/>
      <c r="F295" s="32">
        <f>IF(AND(ISNUMBER(D295),ISNUMBER(E295)),D295*E295,"")</f>
        <v/>
      </c>
      <c r="G295" s="31" t="n"/>
      <c r="H295" s="32">
        <f>IF(C295="SELL",F295-SUMIFS($F$2:$F$1000,$B$2:$B$1000,B295,$C$2:$C$1000,"&lt;&gt;SELL",$A$2:$A$1000,"&gt;"&amp;_xlfn.MAXIFS($A$2:$A$1000,$B$2:$B$1000,B295,$C$2:$C$1000,"SELL",$A$2:$A$1000,"&lt;"&amp;A295),$A$2:$A$1000,"&lt;="&amp;A295),"")</f>
        <v/>
      </c>
    </row>
    <row r="296">
      <c r="A296" s="29" t="n"/>
      <c r="B296" s="30" t="n"/>
      <c r="C296" s="30" t="n"/>
      <c r="D296" s="31" t="n"/>
      <c r="E296" s="30" t="n"/>
      <c r="F296" s="32">
        <f>IF(AND(ISNUMBER(D296),ISNUMBER(E296)),D296*E296,"")</f>
        <v/>
      </c>
      <c r="G296" s="31" t="n"/>
      <c r="H296" s="32">
        <f>IF(C296="SELL",F296-SUMIFS($F$2:$F$1000,$B$2:$B$1000,B296,$C$2:$C$1000,"&lt;&gt;SELL",$A$2:$A$1000,"&gt;"&amp;_xlfn.MAXIFS($A$2:$A$1000,$B$2:$B$1000,B296,$C$2:$C$1000,"SELL",$A$2:$A$1000,"&lt;"&amp;A296),$A$2:$A$1000,"&lt;="&amp;A296),"")</f>
        <v/>
      </c>
    </row>
    <row r="297">
      <c r="A297" s="29" t="n"/>
      <c r="B297" s="30" t="n"/>
      <c r="C297" s="30" t="n"/>
      <c r="D297" s="31" t="n"/>
      <c r="E297" s="30" t="n"/>
      <c r="F297" s="32">
        <f>IF(AND(ISNUMBER(D297),ISNUMBER(E297)),D297*E297,"")</f>
        <v/>
      </c>
      <c r="G297" s="31" t="n"/>
      <c r="H297" s="32">
        <f>IF(C297="SELL",F297-SUMIFS($F$2:$F$1000,$B$2:$B$1000,B297,$C$2:$C$1000,"&lt;&gt;SELL",$A$2:$A$1000,"&gt;"&amp;_xlfn.MAXIFS($A$2:$A$1000,$B$2:$B$1000,B297,$C$2:$C$1000,"SELL",$A$2:$A$1000,"&lt;"&amp;A297),$A$2:$A$1000,"&lt;="&amp;A297),"")</f>
        <v/>
      </c>
    </row>
    <row r="298">
      <c r="A298" s="29" t="n"/>
      <c r="B298" s="30" t="n"/>
      <c r="C298" s="30" t="n"/>
      <c r="D298" s="31" t="n"/>
      <c r="E298" s="30" t="n"/>
      <c r="F298" s="32">
        <f>IF(AND(ISNUMBER(D298),ISNUMBER(E298)),D298*E298,"")</f>
        <v/>
      </c>
      <c r="G298" s="31" t="n"/>
      <c r="H298" s="32">
        <f>IF(C298="SELL",F298-SUMIFS($F$2:$F$1000,$B$2:$B$1000,B298,$C$2:$C$1000,"&lt;&gt;SELL",$A$2:$A$1000,"&gt;"&amp;_xlfn.MAXIFS($A$2:$A$1000,$B$2:$B$1000,B298,$C$2:$C$1000,"SELL",$A$2:$A$1000,"&lt;"&amp;A298),$A$2:$A$1000,"&lt;="&amp;A298),"")</f>
        <v/>
      </c>
    </row>
    <row r="299">
      <c r="A299" s="29" t="n"/>
      <c r="B299" s="30" t="n"/>
      <c r="C299" s="30" t="n"/>
      <c r="D299" s="31" t="n"/>
      <c r="E299" s="30" t="n"/>
      <c r="F299" s="32">
        <f>IF(AND(ISNUMBER(D299),ISNUMBER(E299)),D299*E299,"")</f>
        <v/>
      </c>
      <c r="G299" s="31" t="n"/>
      <c r="H299" s="32">
        <f>IF(C299="SELL",F299-SUMIFS($F$2:$F$1000,$B$2:$B$1000,B299,$C$2:$C$1000,"&lt;&gt;SELL",$A$2:$A$1000,"&gt;"&amp;_xlfn.MAXIFS($A$2:$A$1000,$B$2:$B$1000,B299,$C$2:$C$1000,"SELL",$A$2:$A$1000,"&lt;"&amp;A299),$A$2:$A$1000,"&lt;="&amp;A299),"")</f>
        <v/>
      </c>
    </row>
    <row r="300">
      <c r="A300" s="29" t="n"/>
      <c r="B300" s="30" t="n"/>
      <c r="C300" s="30" t="n"/>
      <c r="D300" s="31" t="n"/>
      <c r="E300" s="30" t="n"/>
      <c r="F300" s="32">
        <f>IF(AND(ISNUMBER(D300),ISNUMBER(E300)),D300*E300,"")</f>
        <v/>
      </c>
      <c r="G300" s="31" t="n"/>
      <c r="H300" s="32">
        <f>IF(C300="SELL",F300-SUMIFS($F$2:$F$1000,$B$2:$B$1000,B300,$C$2:$C$1000,"&lt;&gt;SELL",$A$2:$A$1000,"&gt;"&amp;_xlfn.MAXIFS($A$2:$A$1000,$B$2:$B$1000,B300,$C$2:$C$1000,"SELL",$A$2:$A$1000,"&lt;"&amp;A300),$A$2:$A$1000,"&lt;="&amp;A300),"")</f>
        <v/>
      </c>
    </row>
    <row r="301">
      <c r="A301" s="29" t="n"/>
      <c r="B301" s="30" t="n"/>
      <c r="C301" s="30" t="n"/>
      <c r="D301" s="31" t="n"/>
      <c r="E301" s="30" t="n"/>
      <c r="F301" s="32">
        <f>IF(AND(ISNUMBER(D301),ISNUMBER(E301)),D301*E301,"")</f>
        <v/>
      </c>
      <c r="G301" s="31" t="n"/>
      <c r="H301" s="32">
        <f>IF(C301="SELL",F301-SUMIFS($F$2:$F$1000,$B$2:$B$1000,B301,$C$2:$C$1000,"&lt;&gt;SELL",$A$2:$A$1000,"&gt;"&amp;_xlfn.MAXIFS($A$2:$A$1000,$B$2:$B$1000,B301,$C$2:$C$1000,"SELL",$A$2:$A$1000,"&lt;"&amp;A301),$A$2:$A$1000,"&lt;="&amp;A301),"")</f>
        <v/>
      </c>
    </row>
    <row r="302">
      <c r="A302" s="29" t="n"/>
      <c r="B302" s="30" t="n"/>
      <c r="C302" s="30" t="n"/>
      <c r="D302" s="31" t="n"/>
      <c r="E302" s="30" t="n"/>
      <c r="F302" s="32">
        <f>IF(AND(ISNUMBER(D302),ISNUMBER(E302)),D302*E302,"")</f>
        <v/>
      </c>
      <c r="G302" s="31" t="n"/>
      <c r="H302" s="32">
        <f>IF(C302="SELL",F302-SUMIFS($F$2:$F$1000,$B$2:$B$1000,B302,$C$2:$C$1000,"&lt;&gt;SELL",$A$2:$A$1000,"&gt;"&amp;_xlfn.MAXIFS($A$2:$A$1000,$B$2:$B$1000,B302,$C$2:$C$1000,"SELL",$A$2:$A$1000,"&lt;"&amp;A302),$A$2:$A$1000,"&lt;="&amp;A302),"")</f>
        <v/>
      </c>
    </row>
    <row r="303">
      <c r="A303" s="29" t="n"/>
      <c r="B303" s="30" t="n"/>
      <c r="C303" s="30" t="n"/>
      <c r="D303" s="31" t="n"/>
      <c r="E303" s="30" t="n"/>
      <c r="F303" s="32">
        <f>IF(AND(ISNUMBER(D303),ISNUMBER(E303)),D303*E303,"")</f>
        <v/>
      </c>
      <c r="G303" s="31" t="n"/>
      <c r="H303" s="32">
        <f>IF(C303="SELL",F303-SUMIFS($F$2:$F$1000,$B$2:$B$1000,B303,$C$2:$C$1000,"&lt;&gt;SELL",$A$2:$A$1000,"&gt;"&amp;_xlfn.MAXIFS($A$2:$A$1000,$B$2:$B$1000,B303,$C$2:$C$1000,"SELL",$A$2:$A$1000,"&lt;"&amp;A303),$A$2:$A$1000,"&lt;="&amp;A303),"")</f>
        <v/>
      </c>
    </row>
    <row r="304">
      <c r="A304" s="29" t="n"/>
      <c r="B304" s="30" t="n"/>
      <c r="C304" s="30" t="n"/>
      <c r="D304" s="31" t="n"/>
      <c r="E304" s="30" t="n"/>
      <c r="F304" s="32">
        <f>IF(AND(ISNUMBER(D304),ISNUMBER(E304)),D304*E304,"")</f>
        <v/>
      </c>
      <c r="G304" s="31" t="n"/>
      <c r="H304" s="32">
        <f>IF(C304="SELL",F304-SUMIFS($F$2:$F$1000,$B$2:$B$1000,B304,$C$2:$C$1000,"&lt;&gt;SELL",$A$2:$A$1000,"&gt;"&amp;_xlfn.MAXIFS($A$2:$A$1000,$B$2:$B$1000,B304,$C$2:$C$1000,"SELL",$A$2:$A$1000,"&lt;"&amp;A304),$A$2:$A$1000,"&lt;="&amp;A304),"")</f>
        <v/>
      </c>
    </row>
    <row r="305">
      <c r="A305" s="29" t="n"/>
      <c r="B305" s="30" t="n"/>
      <c r="C305" s="30" t="n"/>
      <c r="D305" s="31" t="n"/>
      <c r="E305" s="30" t="n"/>
      <c r="F305" s="32">
        <f>IF(AND(ISNUMBER(D305),ISNUMBER(E305)),D305*E305,"")</f>
        <v/>
      </c>
      <c r="G305" s="31" t="n"/>
      <c r="H305" s="32">
        <f>IF(C305="SELL",F305-SUMIFS($F$2:$F$1000,$B$2:$B$1000,B305,$C$2:$C$1000,"&lt;&gt;SELL",$A$2:$A$1000,"&gt;"&amp;_xlfn.MAXIFS($A$2:$A$1000,$B$2:$B$1000,B305,$C$2:$C$1000,"SELL",$A$2:$A$1000,"&lt;"&amp;A305),$A$2:$A$1000,"&lt;="&amp;A305),"")</f>
        <v/>
      </c>
    </row>
    <row r="306">
      <c r="A306" s="29" t="n"/>
      <c r="B306" s="30" t="n"/>
      <c r="C306" s="30" t="n"/>
      <c r="D306" s="31" t="n"/>
      <c r="E306" s="30" t="n"/>
      <c r="F306" s="32">
        <f>IF(AND(ISNUMBER(D306),ISNUMBER(E306)),D306*E306,"")</f>
        <v/>
      </c>
      <c r="G306" s="31" t="n"/>
      <c r="H306" s="32">
        <f>IF(C306="SELL",F306-SUMIFS($F$2:$F$1000,$B$2:$B$1000,B306,$C$2:$C$1000,"&lt;&gt;SELL",$A$2:$A$1000,"&gt;"&amp;_xlfn.MAXIFS($A$2:$A$1000,$B$2:$B$1000,B306,$C$2:$C$1000,"SELL",$A$2:$A$1000,"&lt;"&amp;A306),$A$2:$A$1000,"&lt;="&amp;A306),"")</f>
        <v/>
      </c>
    </row>
    <row r="307">
      <c r="A307" s="29" t="n"/>
      <c r="B307" s="30" t="n"/>
      <c r="C307" s="30" t="n"/>
      <c r="D307" s="31" t="n"/>
      <c r="E307" s="30" t="n"/>
      <c r="F307" s="32">
        <f>IF(AND(ISNUMBER(D307),ISNUMBER(E307)),D307*E307,"")</f>
        <v/>
      </c>
      <c r="G307" s="31" t="n"/>
      <c r="H307" s="32">
        <f>IF(C307="SELL",F307-SUMIFS($F$2:$F$1000,$B$2:$B$1000,B307,$C$2:$C$1000,"&lt;&gt;SELL",$A$2:$A$1000,"&gt;"&amp;_xlfn.MAXIFS($A$2:$A$1000,$B$2:$B$1000,B307,$C$2:$C$1000,"SELL",$A$2:$A$1000,"&lt;"&amp;A307),$A$2:$A$1000,"&lt;="&amp;A307),"")</f>
        <v/>
      </c>
    </row>
    <row r="308">
      <c r="A308" s="29" t="n"/>
      <c r="B308" s="30" t="n"/>
      <c r="C308" s="30" t="n"/>
      <c r="D308" s="31" t="n"/>
      <c r="E308" s="30" t="n"/>
      <c r="F308" s="32">
        <f>IF(AND(ISNUMBER(D308),ISNUMBER(E308)),D308*E308,"")</f>
        <v/>
      </c>
      <c r="G308" s="31" t="n"/>
      <c r="H308" s="32">
        <f>IF(C308="SELL",F308-SUMIFS($F$2:$F$1000,$B$2:$B$1000,B308,$C$2:$C$1000,"&lt;&gt;SELL",$A$2:$A$1000,"&gt;"&amp;_xlfn.MAXIFS($A$2:$A$1000,$B$2:$B$1000,B308,$C$2:$C$1000,"SELL",$A$2:$A$1000,"&lt;"&amp;A308),$A$2:$A$1000,"&lt;="&amp;A308),"")</f>
        <v/>
      </c>
    </row>
    <row r="309">
      <c r="A309" s="29" t="n"/>
      <c r="B309" s="30" t="n"/>
      <c r="C309" s="30" t="n"/>
      <c r="D309" s="31" t="n"/>
      <c r="E309" s="30" t="n"/>
      <c r="F309" s="32">
        <f>IF(AND(ISNUMBER(D309),ISNUMBER(E309)),D309*E309,"")</f>
        <v/>
      </c>
      <c r="G309" s="31" t="n"/>
      <c r="H309" s="32">
        <f>IF(C309="SELL",F309-SUMIFS($F$2:$F$1000,$B$2:$B$1000,B309,$C$2:$C$1000,"&lt;&gt;SELL",$A$2:$A$1000,"&gt;"&amp;_xlfn.MAXIFS($A$2:$A$1000,$B$2:$B$1000,B309,$C$2:$C$1000,"SELL",$A$2:$A$1000,"&lt;"&amp;A309),$A$2:$A$1000,"&lt;="&amp;A309),"")</f>
        <v/>
      </c>
    </row>
    <row r="310">
      <c r="A310" s="29" t="n"/>
      <c r="B310" s="30" t="n"/>
      <c r="C310" s="30" t="n"/>
      <c r="D310" s="31" t="n"/>
      <c r="E310" s="30" t="n"/>
      <c r="F310" s="32">
        <f>IF(AND(ISNUMBER(D310),ISNUMBER(E310)),D310*E310,"")</f>
        <v/>
      </c>
      <c r="G310" s="31" t="n"/>
      <c r="H310" s="32">
        <f>IF(C310="SELL",F310-SUMIFS($F$2:$F$1000,$B$2:$B$1000,B310,$C$2:$C$1000,"&lt;&gt;SELL",$A$2:$A$1000,"&gt;"&amp;_xlfn.MAXIFS($A$2:$A$1000,$B$2:$B$1000,B310,$C$2:$C$1000,"SELL",$A$2:$A$1000,"&lt;"&amp;A310),$A$2:$A$1000,"&lt;="&amp;A310),"")</f>
        <v/>
      </c>
    </row>
    <row r="311">
      <c r="A311" s="29" t="n"/>
      <c r="B311" s="30" t="n"/>
      <c r="C311" s="30" t="n"/>
      <c r="D311" s="31" t="n"/>
      <c r="E311" s="30" t="n"/>
      <c r="F311" s="32">
        <f>IF(AND(ISNUMBER(D311),ISNUMBER(E311)),D311*E311,"")</f>
        <v/>
      </c>
      <c r="G311" s="31" t="n"/>
      <c r="H311" s="32">
        <f>IF(C311="SELL",F311-SUMIFS($F$2:$F$1000,$B$2:$B$1000,B311,$C$2:$C$1000,"&lt;&gt;SELL",$A$2:$A$1000,"&gt;"&amp;_xlfn.MAXIFS($A$2:$A$1000,$B$2:$B$1000,B311,$C$2:$C$1000,"SELL",$A$2:$A$1000,"&lt;"&amp;A311),$A$2:$A$1000,"&lt;="&amp;A311),"")</f>
        <v/>
      </c>
    </row>
    <row r="312">
      <c r="A312" s="29" t="n"/>
      <c r="B312" s="30" t="n"/>
      <c r="C312" s="30" t="n"/>
      <c r="D312" s="31" t="n"/>
      <c r="E312" s="30" t="n"/>
      <c r="F312" s="32">
        <f>IF(AND(ISNUMBER(D312),ISNUMBER(E312)),D312*E312,"")</f>
        <v/>
      </c>
      <c r="G312" s="31" t="n"/>
      <c r="H312" s="32">
        <f>IF(C312="SELL",F312-SUMIFS($F$2:$F$1000,$B$2:$B$1000,B312,$C$2:$C$1000,"&lt;&gt;SELL",$A$2:$A$1000,"&gt;"&amp;_xlfn.MAXIFS($A$2:$A$1000,$B$2:$B$1000,B312,$C$2:$C$1000,"SELL",$A$2:$A$1000,"&lt;"&amp;A312),$A$2:$A$1000,"&lt;="&amp;A312),"")</f>
        <v/>
      </c>
    </row>
    <row r="313">
      <c r="A313" s="29" t="n"/>
      <c r="B313" s="30" t="n"/>
      <c r="C313" s="30" t="n"/>
      <c r="D313" s="31" t="n"/>
      <c r="E313" s="30" t="n"/>
      <c r="F313" s="32">
        <f>IF(AND(ISNUMBER(D313),ISNUMBER(E313)),D313*E313,"")</f>
        <v/>
      </c>
      <c r="G313" s="31" t="n"/>
      <c r="H313" s="32">
        <f>IF(C313="SELL",F313-SUMIFS($F$2:$F$1000,$B$2:$B$1000,B313,$C$2:$C$1000,"&lt;&gt;SELL",$A$2:$A$1000,"&gt;"&amp;_xlfn.MAXIFS($A$2:$A$1000,$B$2:$B$1000,B313,$C$2:$C$1000,"SELL",$A$2:$A$1000,"&lt;"&amp;A313),$A$2:$A$1000,"&lt;="&amp;A313),"")</f>
        <v/>
      </c>
    </row>
    <row r="314">
      <c r="A314" s="29" t="n"/>
      <c r="B314" s="30" t="n"/>
      <c r="C314" s="30" t="n"/>
      <c r="D314" s="31" t="n"/>
      <c r="E314" s="30" t="n"/>
      <c r="F314" s="32">
        <f>IF(AND(ISNUMBER(D314),ISNUMBER(E314)),D314*E314,"")</f>
        <v/>
      </c>
      <c r="G314" s="31" t="n"/>
      <c r="H314" s="32">
        <f>IF(C314="SELL",F314-SUMIFS($F$2:$F$1000,$B$2:$B$1000,B314,$C$2:$C$1000,"&lt;&gt;SELL",$A$2:$A$1000,"&gt;"&amp;_xlfn.MAXIFS($A$2:$A$1000,$B$2:$B$1000,B314,$C$2:$C$1000,"SELL",$A$2:$A$1000,"&lt;"&amp;A314),$A$2:$A$1000,"&lt;="&amp;A314),"")</f>
        <v/>
      </c>
    </row>
    <row r="315">
      <c r="A315" s="29" t="n"/>
      <c r="B315" s="30" t="n"/>
      <c r="C315" s="30" t="n"/>
      <c r="D315" s="31" t="n"/>
      <c r="E315" s="30" t="n"/>
      <c r="F315" s="32">
        <f>IF(AND(ISNUMBER(D315),ISNUMBER(E315)),D315*E315,"")</f>
        <v/>
      </c>
      <c r="G315" s="31" t="n"/>
      <c r="H315" s="32">
        <f>IF(C315="SELL",F315-SUMIFS($F$2:$F$1000,$B$2:$B$1000,B315,$C$2:$C$1000,"&lt;&gt;SELL",$A$2:$A$1000,"&gt;"&amp;_xlfn.MAXIFS($A$2:$A$1000,$B$2:$B$1000,B315,$C$2:$C$1000,"SELL",$A$2:$A$1000,"&lt;"&amp;A315),$A$2:$A$1000,"&lt;="&amp;A315),"")</f>
        <v/>
      </c>
    </row>
    <row r="316">
      <c r="A316" s="29" t="n"/>
      <c r="B316" s="30" t="n"/>
      <c r="C316" s="30" t="n"/>
      <c r="D316" s="31" t="n"/>
      <c r="E316" s="30" t="n"/>
      <c r="F316" s="32">
        <f>IF(AND(ISNUMBER(D316),ISNUMBER(E316)),D316*E316,"")</f>
        <v/>
      </c>
      <c r="G316" s="31" t="n"/>
      <c r="H316" s="32">
        <f>IF(C316="SELL",F316-SUMIFS($F$2:$F$1000,$B$2:$B$1000,B316,$C$2:$C$1000,"&lt;&gt;SELL",$A$2:$A$1000,"&gt;"&amp;_xlfn.MAXIFS($A$2:$A$1000,$B$2:$B$1000,B316,$C$2:$C$1000,"SELL",$A$2:$A$1000,"&lt;"&amp;A316),$A$2:$A$1000,"&lt;="&amp;A316),"")</f>
        <v/>
      </c>
    </row>
    <row r="317">
      <c r="A317" s="29" t="n"/>
      <c r="B317" s="30" t="n"/>
      <c r="C317" s="30" t="n"/>
      <c r="D317" s="31" t="n"/>
      <c r="E317" s="30" t="n"/>
      <c r="F317" s="32">
        <f>IF(AND(ISNUMBER(D317),ISNUMBER(E317)),D317*E317,"")</f>
        <v/>
      </c>
      <c r="G317" s="31" t="n"/>
      <c r="H317" s="32">
        <f>IF(C317="SELL",F317-SUMIFS($F$2:$F$1000,$B$2:$B$1000,B317,$C$2:$C$1000,"&lt;&gt;SELL",$A$2:$A$1000,"&gt;"&amp;_xlfn.MAXIFS($A$2:$A$1000,$B$2:$B$1000,B317,$C$2:$C$1000,"SELL",$A$2:$A$1000,"&lt;"&amp;A317),$A$2:$A$1000,"&lt;="&amp;A317),"")</f>
        <v/>
      </c>
    </row>
    <row r="318">
      <c r="A318" s="29" t="n"/>
      <c r="B318" s="30" t="n"/>
      <c r="C318" s="30" t="n"/>
      <c r="D318" s="31" t="n"/>
      <c r="E318" s="30" t="n"/>
      <c r="F318" s="32">
        <f>IF(AND(ISNUMBER(D318),ISNUMBER(E318)),D318*E318,"")</f>
        <v/>
      </c>
      <c r="G318" s="31" t="n"/>
      <c r="H318" s="32">
        <f>IF(C318="SELL",F318-SUMIFS($F$2:$F$1000,$B$2:$B$1000,B318,$C$2:$C$1000,"&lt;&gt;SELL",$A$2:$A$1000,"&gt;"&amp;_xlfn.MAXIFS($A$2:$A$1000,$B$2:$B$1000,B318,$C$2:$C$1000,"SELL",$A$2:$A$1000,"&lt;"&amp;A318),$A$2:$A$1000,"&lt;="&amp;A318),"")</f>
        <v/>
      </c>
    </row>
    <row r="319">
      <c r="A319" s="29" t="n"/>
      <c r="B319" s="30" t="n"/>
      <c r="C319" s="30" t="n"/>
      <c r="D319" s="31" t="n"/>
      <c r="E319" s="30" t="n"/>
      <c r="F319" s="32">
        <f>IF(AND(ISNUMBER(D319),ISNUMBER(E319)),D319*E319,"")</f>
        <v/>
      </c>
      <c r="G319" s="31" t="n"/>
      <c r="H319" s="32">
        <f>IF(C319="SELL",F319-SUMIFS($F$2:$F$1000,$B$2:$B$1000,B319,$C$2:$C$1000,"&lt;&gt;SELL",$A$2:$A$1000,"&gt;"&amp;_xlfn.MAXIFS($A$2:$A$1000,$B$2:$B$1000,B319,$C$2:$C$1000,"SELL",$A$2:$A$1000,"&lt;"&amp;A319),$A$2:$A$1000,"&lt;="&amp;A319),"")</f>
        <v/>
      </c>
    </row>
    <row r="320">
      <c r="A320" s="29" t="n"/>
      <c r="B320" s="30" t="n"/>
      <c r="C320" s="30" t="n"/>
      <c r="D320" s="31" t="n"/>
      <c r="E320" s="30" t="n"/>
      <c r="F320" s="32">
        <f>IF(AND(ISNUMBER(D320),ISNUMBER(E320)),D320*E320,"")</f>
        <v/>
      </c>
      <c r="G320" s="31" t="n"/>
      <c r="H320" s="32">
        <f>IF(C320="SELL",F320-SUMIFS($F$2:$F$1000,$B$2:$B$1000,B320,$C$2:$C$1000,"&lt;&gt;SELL",$A$2:$A$1000,"&gt;"&amp;_xlfn.MAXIFS($A$2:$A$1000,$B$2:$B$1000,B320,$C$2:$C$1000,"SELL",$A$2:$A$1000,"&lt;"&amp;A320),$A$2:$A$1000,"&lt;="&amp;A320),"")</f>
        <v/>
      </c>
    </row>
    <row r="321">
      <c r="A321" s="29" t="n"/>
      <c r="B321" s="30" t="n"/>
      <c r="C321" s="30" t="n"/>
      <c r="D321" s="31" t="n"/>
      <c r="E321" s="30" t="n"/>
      <c r="F321" s="32">
        <f>IF(AND(ISNUMBER(D321),ISNUMBER(E321)),D321*E321,"")</f>
        <v/>
      </c>
      <c r="G321" s="31" t="n"/>
      <c r="H321" s="32">
        <f>IF(C321="SELL",F321-SUMIFS($F$2:$F$1000,$B$2:$B$1000,B321,$C$2:$C$1000,"&lt;&gt;SELL",$A$2:$A$1000,"&gt;"&amp;_xlfn.MAXIFS($A$2:$A$1000,$B$2:$B$1000,B321,$C$2:$C$1000,"SELL",$A$2:$A$1000,"&lt;"&amp;A321),$A$2:$A$1000,"&lt;="&amp;A321),"")</f>
        <v/>
      </c>
    </row>
    <row r="322">
      <c r="A322" s="29" t="n"/>
      <c r="B322" s="30" t="n"/>
      <c r="C322" s="30" t="n"/>
      <c r="D322" s="31" t="n"/>
      <c r="E322" s="30" t="n"/>
      <c r="F322" s="32">
        <f>IF(AND(ISNUMBER(D322),ISNUMBER(E322)),D322*E322,"")</f>
        <v/>
      </c>
      <c r="G322" s="31" t="n"/>
      <c r="H322" s="32">
        <f>IF(C322="SELL",F322-SUMIFS($F$2:$F$1000,$B$2:$B$1000,B322,$C$2:$C$1000,"&lt;&gt;SELL",$A$2:$A$1000,"&gt;"&amp;_xlfn.MAXIFS($A$2:$A$1000,$B$2:$B$1000,B322,$C$2:$C$1000,"SELL",$A$2:$A$1000,"&lt;"&amp;A322),$A$2:$A$1000,"&lt;="&amp;A322),"")</f>
        <v/>
      </c>
    </row>
    <row r="323">
      <c r="A323" s="29" t="n"/>
      <c r="B323" s="30" t="n"/>
      <c r="C323" s="30" t="n"/>
      <c r="D323" s="31" t="n"/>
      <c r="E323" s="30" t="n"/>
      <c r="F323" s="32">
        <f>IF(AND(ISNUMBER(D323),ISNUMBER(E323)),D323*E323,"")</f>
        <v/>
      </c>
      <c r="G323" s="31" t="n"/>
      <c r="H323" s="32">
        <f>IF(C323="SELL",F323-SUMIFS($F$2:$F$1000,$B$2:$B$1000,B323,$C$2:$C$1000,"&lt;&gt;SELL",$A$2:$A$1000,"&gt;"&amp;_xlfn.MAXIFS($A$2:$A$1000,$B$2:$B$1000,B323,$C$2:$C$1000,"SELL",$A$2:$A$1000,"&lt;"&amp;A323),$A$2:$A$1000,"&lt;="&amp;A323),"")</f>
        <v/>
      </c>
    </row>
    <row r="324">
      <c r="A324" s="29" t="n"/>
      <c r="B324" s="30" t="n"/>
      <c r="C324" s="30" t="n"/>
      <c r="D324" s="31" t="n"/>
      <c r="E324" s="30" t="n"/>
      <c r="F324" s="32">
        <f>IF(AND(ISNUMBER(D324),ISNUMBER(E324)),D324*E324,"")</f>
        <v/>
      </c>
      <c r="G324" s="31" t="n"/>
      <c r="H324" s="32">
        <f>IF(C324="SELL",F324-SUMIFS($F$2:$F$1000,$B$2:$B$1000,B324,$C$2:$C$1000,"&lt;&gt;SELL",$A$2:$A$1000,"&gt;"&amp;_xlfn.MAXIFS($A$2:$A$1000,$B$2:$B$1000,B324,$C$2:$C$1000,"SELL",$A$2:$A$1000,"&lt;"&amp;A324),$A$2:$A$1000,"&lt;="&amp;A324),"")</f>
        <v/>
      </c>
    </row>
    <row r="325">
      <c r="A325" s="29" t="n"/>
      <c r="B325" s="30" t="n"/>
      <c r="C325" s="30" t="n"/>
      <c r="D325" s="31" t="n"/>
      <c r="E325" s="30" t="n"/>
      <c r="F325" s="32">
        <f>IF(AND(ISNUMBER(D325),ISNUMBER(E325)),D325*E325,"")</f>
        <v/>
      </c>
      <c r="G325" s="31" t="n"/>
      <c r="H325" s="32">
        <f>IF(C325="SELL",F325-SUMIFS($F$2:$F$1000,$B$2:$B$1000,B325,$C$2:$C$1000,"&lt;&gt;SELL",$A$2:$A$1000,"&gt;"&amp;_xlfn.MAXIFS($A$2:$A$1000,$B$2:$B$1000,B325,$C$2:$C$1000,"SELL",$A$2:$A$1000,"&lt;"&amp;A325),$A$2:$A$1000,"&lt;="&amp;A325),"")</f>
        <v/>
      </c>
    </row>
    <row r="326">
      <c r="A326" s="29" t="n"/>
      <c r="B326" s="30" t="n"/>
      <c r="C326" s="30" t="n"/>
      <c r="D326" s="31" t="n"/>
      <c r="E326" s="30" t="n"/>
      <c r="F326" s="32">
        <f>IF(AND(ISNUMBER(D326),ISNUMBER(E326)),D326*E326,"")</f>
        <v/>
      </c>
      <c r="G326" s="31" t="n"/>
      <c r="H326" s="32">
        <f>IF(C326="SELL",F326-SUMIFS($F$2:$F$1000,$B$2:$B$1000,B326,$C$2:$C$1000,"&lt;&gt;SELL",$A$2:$A$1000,"&gt;"&amp;_xlfn.MAXIFS($A$2:$A$1000,$B$2:$B$1000,B326,$C$2:$C$1000,"SELL",$A$2:$A$1000,"&lt;"&amp;A326),$A$2:$A$1000,"&lt;="&amp;A326),"")</f>
        <v/>
      </c>
    </row>
    <row r="327">
      <c r="A327" s="29" t="n"/>
      <c r="B327" s="30" t="n"/>
      <c r="C327" s="30" t="n"/>
      <c r="D327" s="31" t="n"/>
      <c r="E327" s="30" t="n"/>
      <c r="F327" s="32">
        <f>IF(AND(ISNUMBER(D327),ISNUMBER(E327)),D327*E327,"")</f>
        <v/>
      </c>
      <c r="G327" s="31" t="n"/>
      <c r="H327" s="32">
        <f>IF(C327="SELL",F327-SUMIFS($F$2:$F$1000,$B$2:$B$1000,B327,$C$2:$C$1000,"&lt;&gt;SELL",$A$2:$A$1000,"&gt;"&amp;_xlfn.MAXIFS($A$2:$A$1000,$B$2:$B$1000,B327,$C$2:$C$1000,"SELL",$A$2:$A$1000,"&lt;"&amp;A327),$A$2:$A$1000,"&lt;="&amp;A327),"")</f>
        <v/>
      </c>
    </row>
    <row r="328">
      <c r="A328" s="29" t="n"/>
      <c r="B328" s="30" t="n"/>
      <c r="C328" s="30" t="n"/>
      <c r="D328" s="31" t="n"/>
      <c r="E328" s="30" t="n"/>
      <c r="F328" s="32">
        <f>IF(AND(ISNUMBER(D328),ISNUMBER(E328)),D328*E328,"")</f>
        <v/>
      </c>
      <c r="G328" s="31" t="n"/>
      <c r="H328" s="32">
        <f>IF(C328="SELL",F328-SUMIFS($F$2:$F$1000,$B$2:$B$1000,B328,$C$2:$C$1000,"&lt;&gt;SELL",$A$2:$A$1000,"&gt;"&amp;_xlfn.MAXIFS($A$2:$A$1000,$B$2:$B$1000,B328,$C$2:$C$1000,"SELL",$A$2:$A$1000,"&lt;"&amp;A328),$A$2:$A$1000,"&lt;="&amp;A328),"")</f>
        <v/>
      </c>
    </row>
    <row r="329">
      <c r="A329" s="29" t="n"/>
      <c r="B329" s="30" t="n"/>
      <c r="C329" s="30" t="n"/>
      <c r="D329" s="31" t="n"/>
      <c r="E329" s="30" t="n"/>
      <c r="F329" s="32">
        <f>IF(AND(ISNUMBER(D329),ISNUMBER(E329)),D329*E329,"")</f>
        <v/>
      </c>
      <c r="G329" s="31" t="n"/>
      <c r="H329" s="32">
        <f>IF(C329="SELL",F329-SUMIFS($F$2:$F$1000,$B$2:$B$1000,B329,$C$2:$C$1000,"&lt;&gt;SELL",$A$2:$A$1000,"&gt;"&amp;_xlfn.MAXIFS($A$2:$A$1000,$B$2:$B$1000,B329,$C$2:$C$1000,"SELL",$A$2:$A$1000,"&lt;"&amp;A329),$A$2:$A$1000,"&lt;="&amp;A329),"")</f>
        <v/>
      </c>
    </row>
    <row r="330">
      <c r="A330" s="29" t="n"/>
      <c r="B330" s="30" t="n"/>
      <c r="C330" s="30" t="n"/>
      <c r="D330" s="31" t="n"/>
      <c r="E330" s="30" t="n"/>
      <c r="F330" s="32">
        <f>IF(AND(ISNUMBER(D330),ISNUMBER(E330)),D330*E330,"")</f>
        <v/>
      </c>
      <c r="G330" s="31" t="n"/>
      <c r="H330" s="32">
        <f>IF(C330="SELL",F330-SUMIFS($F$2:$F$1000,$B$2:$B$1000,B330,$C$2:$C$1000,"&lt;&gt;SELL",$A$2:$A$1000,"&gt;"&amp;_xlfn.MAXIFS($A$2:$A$1000,$B$2:$B$1000,B330,$C$2:$C$1000,"SELL",$A$2:$A$1000,"&lt;"&amp;A330),$A$2:$A$1000,"&lt;="&amp;A330),"")</f>
        <v/>
      </c>
    </row>
    <row r="331">
      <c r="A331" s="29" t="n"/>
      <c r="B331" s="30" t="n"/>
      <c r="C331" s="30" t="n"/>
      <c r="D331" s="31" t="n"/>
      <c r="E331" s="30" t="n"/>
      <c r="F331" s="32">
        <f>IF(AND(ISNUMBER(D331),ISNUMBER(E331)),D331*E331,"")</f>
        <v/>
      </c>
      <c r="G331" s="31" t="n"/>
      <c r="H331" s="32">
        <f>IF(C331="SELL",F331-SUMIFS($F$2:$F$1000,$B$2:$B$1000,B331,$C$2:$C$1000,"&lt;&gt;SELL",$A$2:$A$1000,"&gt;"&amp;_xlfn.MAXIFS($A$2:$A$1000,$B$2:$B$1000,B331,$C$2:$C$1000,"SELL",$A$2:$A$1000,"&lt;"&amp;A331),$A$2:$A$1000,"&lt;="&amp;A331),"")</f>
        <v/>
      </c>
    </row>
    <row r="332">
      <c r="A332" s="29" t="n"/>
      <c r="B332" s="30" t="n"/>
      <c r="C332" s="30" t="n"/>
      <c r="D332" s="31" t="n"/>
      <c r="E332" s="30" t="n"/>
      <c r="F332" s="32">
        <f>IF(AND(ISNUMBER(D332),ISNUMBER(E332)),D332*E332,"")</f>
        <v/>
      </c>
      <c r="G332" s="31" t="n"/>
      <c r="H332" s="32">
        <f>IF(C332="SELL",F332-SUMIFS($F$2:$F$1000,$B$2:$B$1000,B332,$C$2:$C$1000,"&lt;&gt;SELL",$A$2:$A$1000,"&gt;"&amp;_xlfn.MAXIFS($A$2:$A$1000,$B$2:$B$1000,B332,$C$2:$C$1000,"SELL",$A$2:$A$1000,"&lt;"&amp;A332),$A$2:$A$1000,"&lt;="&amp;A332),"")</f>
        <v/>
      </c>
    </row>
    <row r="333">
      <c r="A333" s="29" t="n"/>
      <c r="B333" s="30" t="n"/>
      <c r="C333" s="30" t="n"/>
      <c r="D333" s="31" t="n"/>
      <c r="E333" s="30" t="n"/>
      <c r="F333" s="32">
        <f>IF(AND(ISNUMBER(D333),ISNUMBER(E333)),D333*E333,"")</f>
        <v/>
      </c>
      <c r="G333" s="31" t="n"/>
      <c r="H333" s="32">
        <f>IF(C333="SELL",F333-SUMIFS($F$2:$F$1000,$B$2:$B$1000,B333,$C$2:$C$1000,"&lt;&gt;SELL",$A$2:$A$1000,"&gt;"&amp;_xlfn.MAXIFS($A$2:$A$1000,$B$2:$B$1000,B333,$C$2:$C$1000,"SELL",$A$2:$A$1000,"&lt;"&amp;A333),$A$2:$A$1000,"&lt;="&amp;A333),"")</f>
        <v/>
      </c>
    </row>
    <row r="334">
      <c r="A334" s="29" t="n"/>
      <c r="B334" s="30" t="n"/>
      <c r="C334" s="30" t="n"/>
      <c r="D334" s="31" t="n"/>
      <c r="E334" s="30" t="n"/>
      <c r="F334" s="32">
        <f>IF(AND(ISNUMBER(D334),ISNUMBER(E334)),D334*E334,"")</f>
        <v/>
      </c>
      <c r="G334" s="31" t="n"/>
      <c r="H334" s="32">
        <f>IF(C334="SELL",F334-SUMIFS($F$2:$F$1000,$B$2:$B$1000,B334,$C$2:$C$1000,"&lt;&gt;SELL",$A$2:$A$1000,"&gt;"&amp;_xlfn.MAXIFS($A$2:$A$1000,$B$2:$B$1000,B334,$C$2:$C$1000,"SELL",$A$2:$A$1000,"&lt;"&amp;A334),$A$2:$A$1000,"&lt;="&amp;A334),"")</f>
        <v/>
      </c>
    </row>
    <row r="335">
      <c r="A335" s="29" t="n"/>
      <c r="B335" s="30" t="n"/>
      <c r="C335" s="30" t="n"/>
      <c r="D335" s="31" t="n"/>
      <c r="E335" s="30" t="n"/>
      <c r="F335" s="32">
        <f>IF(AND(ISNUMBER(D335),ISNUMBER(E335)),D335*E335,"")</f>
        <v/>
      </c>
      <c r="G335" s="31" t="n"/>
      <c r="H335" s="32">
        <f>IF(C335="SELL",F335-SUMIFS($F$2:$F$1000,$B$2:$B$1000,B335,$C$2:$C$1000,"&lt;&gt;SELL",$A$2:$A$1000,"&gt;"&amp;_xlfn.MAXIFS($A$2:$A$1000,$B$2:$B$1000,B335,$C$2:$C$1000,"SELL",$A$2:$A$1000,"&lt;"&amp;A335),$A$2:$A$1000,"&lt;="&amp;A335),"")</f>
        <v/>
      </c>
    </row>
    <row r="336">
      <c r="A336" s="29" t="n"/>
      <c r="B336" s="30" t="n"/>
      <c r="C336" s="30" t="n"/>
      <c r="D336" s="31" t="n"/>
      <c r="E336" s="30" t="n"/>
      <c r="F336" s="32">
        <f>IF(AND(ISNUMBER(D336),ISNUMBER(E336)),D336*E336,"")</f>
        <v/>
      </c>
      <c r="G336" s="31" t="n"/>
      <c r="H336" s="32">
        <f>IF(C336="SELL",F336-SUMIFS($F$2:$F$1000,$B$2:$B$1000,B336,$C$2:$C$1000,"&lt;&gt;SELL",$A$2:$A$1000,"&gt;"&amp;_xlfn.MAXIFS($A$2:$A$1000,$B$2:$B$1000,B336,$C$2:$C$1000,"SELL",$A$2:$A$1000,"&lt;"&amp;A336),$A$2:$A$1000,"&lt;="&amp;A336),"")</f>
        <v/>
      </c>
    </row>
    <row r="337">
      <c r="A337" s="29" t="n"/>
      <c r="B337" s="30" t="n"/>
      <c r="C337" s="30" t="n"/>
      <c r="D337" s="31" t="n"/>
      <c r="E337" s="30" t="n"/>
      <c r="F337" s="32">
        <f>IF(AND(ISNUMBER(D337),ISNUMBER(E337)),D337*E337,"")</f>
        <v/>
      </c>
      <c r="G337" s="31" t="n"/>
      <c r="H337" s="32">
        <f>IF(C337="SELL",F337-SUMIFS($F$2:$F$1000,$B$2:$B$1000,B337,$C$2:$C$1000,"&lt;&gt;SELL",$A$2:$A$1000,"&gt;"&amp;_xlfn.MAXIFS($A$2:$A$1000,$B$2:$B$1000,B337,$C$2:$C$1000,"SELL",$A$2:$A$1000,"&lt;"&amp;A337),$A$2:$A$1000,"&lt;="&amp;A337),"")</f>
        <v/>
      </c>
    </row>
    <row r="338">
      <c r="A338" s="29" t="n"/>
      <c r="B338" s="30" t="n"/>
      <c r="C338" s="30" t="n"/>
      <c r="D338" s="31" t="n"/>
      <c r="E338" s="30" t="n"/>
      <c r="F338" s="32">
        <f>IF(AND(ISNUMBER(D338),ISNUMBER(E338)),D338*E338,"")</f>
        <v/>
      </c>
      <c r="G338" s="31" t="n"/>
      <c r="H338" s="32">
        <f>IF(C338="SELL",F338-SUMIFS($F$2:$F$1000,$B$2:$B$1000,B338,$C$2:$C$1000,"&lt;&gt;SELL",$A$2:$A$1000,"&gt;"&amp;_xlfn.MAXIFS($A$2:$A$1000,$B$2:$B$1000,B338,$C$2:$C$1000,"SELL",$A$2:$A$1000,"&lt;"&amp;A338),$A$2:$A$1000,"&lt;="&amp;A338),"")</f>
        <v/>
      </c>
    </row>
    <row r="339">
      <c r="A339" s="29" t="n"/>
      <c r="B339" s="30" t="n"/>
      <c r="C339" s="30" t="n"/>
      <c r="D339" s="31" t="n"/>
      <c r="E339" s="30" t="n"/>
      <c r="F339" s="32">
        <f>IF(AND(ISNUMBER(D339),ISNUMBER(E339)),D339*E339,"")</f>
        <v/>
      </c>
      <c r="G339" s="31" t="n"/>
      <c r="H339" s="32">
        <f>IF(C339="SELL",F339-SUMIFS($F$2:$F$1000,$B$2:$B$1000,B339,$C$2:$C$1000,"&lt;&gt;SELL",$A$2:$A$1000,"&gt;"&amp;_xlfn.MAXIFS($A$2:$A$1000,$B$2:$B$1000,B339,$C$2:$C$1000,"SELL",$A$2:$A$1000,"&lt;"&amp;A339),$A$2:$A$1000,"&lt;="&amp;A339),"")</f>
        <v/>
      </c>
    </row>
    <row r="340">
      <c r="A340" s="29" t="n"/>
      <c r="B340" s="30" t="n"/>
      <c r="C340" s="30" t="n"/>
      <c r="D340" s="31" t="n"/>
      <c r="E340" s="30" t="n"/>
      <c r="F340" s="32">
        <f>IF(AND(ISNUMBER(D340),ISNUMBER(E340)),D340*E340,"")</f>
        <v/>
      </c>
      <c r="G340" s="31" t="n"/>
      <c r="H340" s="32">
        <f>IF(C340="SELL",F340-SUMIFS($F$2:$F$1000,$B$2:$B$1000,B340,$C$2:$C$1000,"&lt;&gt;SELL",$A$2:$A$1000,"&gt;"&amp;_xlfn.MAXIFS($A$2:$A$1000,$B$2:$B$1000,B340,$C$2:$C$1000,"SELL",$A$2:$A$1000,"&lt;"&amp;A340),$A$2:$A$1000,"&lt;="&amp;A340),"")</f>
        <v/>
      </c>
    </row>
    <row r="341">
      <c r="A341" s="29" t="n"/>
      <c r="B341" s="30" t="n"/>
      <c r="C341" s="30" t="n"/>
      <c r="D341" s="31" t="n"/>
      <c r="E341" s="30" t="n"/>
      <c r="F341" s="32">
        <f>IF(AND(ISNUMBER(D341),ISNUMBER(E341)),D341*E341,"")</f>
        <v/>
      </c>
      <c r="G341" s="31" t="n"/>
      <c r="H341" s="32">
        <f>IF(C341="SELL",F341-SUMIFS($F$2:$F$1000,$B$2:$B$1000,B341,$C$2:$C$1000,"&lt;&gt;SELL",$A$2:$A$1000,"&gt;"&amp;_xlfn.MAXIFS($A$2:$A$1000,$B$2:$B$1000,B341,$C$2:$C$1000,"SELL",$A$2:$A$1000,"&lt;"&amp;A341),$A$2:$A$1000,"&lt;="&amp;A341),"")</f>
        <v/>
      </c>
    </row>
    <row r="342">
      <c r="A342" s="29" t="n"/>
      <c r="B342" s="30" t="n"/>
      <c r="C342" s="30" t="n"/>
      <c r="D342" s="31" t="n"/>
      <c r="E342" s="30" t="n"/>
      <c r="F342" s="32">
        <f>IF(AND(ISNUMBER(D342),ISNUMBER(E342)),D342*E342,"")</f>
        <v/>
      </c>
      <c r="G342" s="31" t="n"/>
      <c r="H342" s="32">
        <f>IF(C342="SELL",F342-SUMIFS($F$2:$F$1000,$B$2:$B$1000,B342,$C$2:$C$1000,"&lt;&gt;SELL",$A$2:$A$1000,"&gt;"&amp;_xlfn.MAXIFS($A$2:$A$1000,$B$2:$B$1000,B342,$C$2:$C$1000,"SELL",$A$2:$A$1000,"&lt;"&amp;A342),$A$2:$A$1000,"&lt;="&amp;A342),"")</f>
        <v/>
      </c>
    </row>
    <row r="343">
      <c r="A343" s="29" t="n"/>
      <c r="B343" s="30" t="n"/>
      <c r="C343" s="30" t="n"/>
      <c r="D343" s="31" t="n"/>
      <c r="E343" s="30" t="n"/>
      <c r="F343" s="32">
        <f>IF(AND(ISNUMBER(D343),ISNUMBER(E343)),D343*E343,"")</f>
        <v/>
      </c>
      <c r="G343" s="31" t="n"/>
      <c r="H343" s="32">
        <f>IF(C343="SELL",F343-SUMIFS($F$2:$F$1000,$B$2:$B$1000,B343,$C$2:$C$1000,"&lt;&gt;SELL",$A$2:$A$1000,"&gt;"&amp;_xlfn.MAXIFS($A$2:$A$1000,$B$2:$B$1000,B343,$C$2:$C$1000,"SELL",$A$2:$A$1000,"&lt;"&amp;A343),$A$2:$A$1000,"&lt;="&amp;A343),"")</f>
        <v/>
      </c>
    </row>
    <row r="344">
      <c r="A344" s="29" t="n"/>
      <c r="B344" s="30" t="n"/>
      <c r="C344" s="30" t="n"/>
      <c r="D344" s="31" t="n"/>
      <c r="E344" s="30" t="n"/>
      <c r="F344" s="32">
        <f>IF(AND(ISNUMBER(D344),ISNUMBER(E344)),D344*E344,"")</f>
        <v/>
      </c>
      <c r="G344" s="31" t="n"/>
      <c r="H344" s="32">
        <f>IF(C344="SELL",F344-SUMIFS($F$2:$F$1000,$B$2:$B$1000,B344,$C$2:$C$1000,"&lt;&gt;SELL",$A$2:$A$1000,"&gt;"&amp;_xlfn.MAXIFS($A$2:$A$1000,$B$2:$B$1000,B344,$C$2:$C$1000,"SELL",$A$2:$A$1000,"&lt;"&amp;A344),$A$2:$A$1000,"&lt;="&amp;A344),"")</f>
        <v/>
      </c>
    </row>
    <row r="345">
      <c r="A345" s="29" t="n"/>
      <c r="B345" s="30" t="n"/>
      <c r="C345" s="30" t="n"/>
      <c r="D345" s="31" t="n"/>
      <c r="E345" s="30" t="n"/>
      <c r="F345" s="32">
        <f>IF(AND(ISNUMBER(D345),ISNUMBER(E345)),D345*E345,"")</f>
        <v/>
      </c>
      <c r="G345" s="31" t="n"/>
      <c r="H345" s="32">
        <f>IF(C345="SELL",F345-SUMIFS($F$2:$F$1000,$B$2:$B$1000,B345,$C$2:$C$1000,"&lt;&gt;SELL",$A$2:$A$1000,"&gt;"&amp;_xlfn.MAXIFS($A$2:$A$1000,$B$2:$B$1000,B345,$C$2:$C$1000,"SELL",$A$2:$A$1000,"&lt;"&amp;A345),$A$2:$A$1000,"&lt;="&amp;A345),"")</f>
        <v/>
      </c>
    </row>
    <row r="346">
      <c r="A346" s="29" t="n"/>
      <c r="B346" s="30" t="n"/>
      <c r="C346" s="30" t="n"/>
      <c r="D346" s="31" t="n"/>
      <c r="E346" s="30" t="n"/>
      <c r="F346" s="32">
        <f>IF(AND(ISNUMBER(D346),ISNUMBER(E346)),D346*E346,"")</f>
        <v/>
      </c>
      <c r="G346" s="31" t="n"/>
      <c r="H346" s="32">
        <f>IF(C346="SELL",F346-SUMIFS($F$2:$F$1000,$B$2:$B$1000,B346,$C$2:$C$1000,"&lt;&gt;SELL",$A$2:$A$1000,"&gt;"&amp;_xlfn.MAXIFS($A$2:$A$1000,$B$2:$B$1000,B346,$C$2:$C$1000,"SELL",$A$2:$A$1000,"&lt;"&amp;A346),$A$2:$A$1000,"&lt;="&amp;A346),"")</f>
        <v/>
      </c>
    </row>
    <row r="347">
      <c r="A347" s="29" t="n"/>
      <c r="B347" s="30" t="n"/>
      <c r="C347" s="30" t="n"/>
      <c r="D347" s="31" t="n"/>
      <c r="E347" s="30" t="n"/>
      <c r="F347" s="32">
        <f>IF(AND(ISNUMBER(D347),ISNUMBER(E347)),D347*E347,"")</f>
        <v/>
      </c>
      <c r="G347" s="31" t="n"/>
      <c r="H347" s="32">
        <f>IF(C347="SELL",F347-SUMIFS($F$2:$F$1000,$B$2:$B$1000,B347,$C$2:$C$1000,"&lt;&gt;SELL",$A$2:$A$1000,"&gt;"&amp;_xlfn.MAXIFS($A$2:$A$1000,$B$2:$B$1000,B347,$C$2:$C$1000,"SELL",$A$2:$A$1000,"&lt;"&amp;A347),$A$2:$A$1000,"&lt;="&amp;A347),"")</f>
        <v/>
      </c>
    </row>
    <row r="348">
      <c r="A348" s="29" t="n"/>
      <c r="B348" s="30" t="n"/>
      <c r="C348" s="30" t="n"/>
      <c r="D348" s="31" t="n"/>
      <c r="E348" s="30" t="n"/>
      <c r="F348" s="32">
        <f>IF(AND(ISNUMBER(D348),ISNUMBER(E348)),D348*E348,"")</f>
        <v/>
      </c>
      <c r="G348" s="31" t="n"/>
      <c r="H348" s="32">
        <f>IF(C348="SELL",F348-SUMIFS($F$2:$F$1000,$B$2:$B$1000,B348,$C$2:$C$1000,"&lt;&gt;SELL",$A$2:$A$1000,"&gt;"&amp;_xlfn.MAXIFS($A$2:$A$1000,$B$2:$B$1000,B348,$C$2:$C$1000,"SELL",$A$2:$A$1000,"&lt;"&amp;A348),$A$2:$A$1000,"&lt;="&amp;A348),"")</f>
        <v/>
      </c>
    </row>
    <row r="349">
      <c r="A349" s="29" t="n"/>
      <c r="B349" s="30" t="n"/>
      <c r="C349" s="30" t="n"/>
      <c r="D349" s="31" t="n"/>
      <c r="E349" s="30" t="n"/>
      <c r="F349" s="32">
        <f>IF(AND(ISNUMBER(D349),ISNUMBER(E349)),D349*E349,"")</f>
        <v/>
      </c>
      <c r="G349" s="31" t="n"/>
      <c r="H349" s="32">
        <f>IF(C349="SELL",F349-SUMIFS($F$2:$F$1000,$B$2:$B$1000,B349,$C$2:$C$1000,"&lt;&gt;SELL",$A$2:$A$1000,"&gt;"&amp;_xlfn.MAXIFS($A$2:$A$1000,$B$2:$B$1000,B349,$C$2:$C$1000,"SELL",$A$2:$A$1000,"&lt;"&amp;A349),$A$2:$A$1000,"&lt;="&amp;A349),"")</f>
        <v/>
      </c>
    </row>
    <row r="350">
      <c r="A350" s="29" t="n"/>
      <c r="B350" s="30" t="n"/>
      <c r="C350" s="30" t="n"/>
      <c r="D350" s="31" t="n"/>
      <c r="E350" s="30" t="n"/>
      <c r="F350" s="32">
        <f>IF(AND(ISNUMBER(D350),ISNUMBER(E350)),D350*E350,"")</f>
        <v/>
      </c>
      <c r="G350" s="31" t="n"/>
      <c r="H350" s="32">
        <f>IF(C350="SELL",F350-SUMIFS($F$2:$F$1000,$B$2:$B$1000,B350,$C$2:$C$1000,"&lt;&gt;SELL",$A$2:$A$1000,"&gt;"&amp;_xlfn.MAXIFS($A$2:$A$1000,$B$2:$B$1000,B350,$C$2:$C$1000,"SELL",$A$2:$A$1000,"&lt;"&amp;A350),$A$2:$A$1000,"&lt;="&amp;A350),"")</f>
        <v/>
      </c>
    </row>
    <row r="351">
      <c r="A351" s="29" t="n"/>
      <c r="B351" s="30" t="n"/>
      <c r="C351" s="30" t="n"/>
      <c r="D351" s="31" t="n"/>
      <c r="E351" s="30" t="n"/>
      <c r="F351" s="32">
        <f>IF(AND(ISNUMBER(D351),ISNUMBER(E351)),D351*E351,"")</f>
        <v/>
      </c>
      <c r="G351" s="31" t="n"/>
      <c r="H351" s="32">
        <f>IF(C351="SELL",F351-SUMIFS($F$2:$F$1000,$B$2:$B$1000,B351,$C$2:$C$1000,"&lt;&gt;SELL",$A$2:$A$1000,"&gt;"&amp;_xlfn.MAXIFS($A$2:$A$1000,$B$2:$B$1000,B351,$C$2:$C$1000,"SELL",$A$2:$A$1000,"&lt;"&amp;A351),$A$2:$A$1000,"&lt;="&amp;A351),"")</f>
        <v/>
      </c>
    </row>
    <row r="352">
      <c r="A352" s="29" t="n"/>
      <c r="B352" s="30" t="n"/>
      <c r="C352" s="30" t="n"/>
      <c r="D352" s="31" t="n"/>
      <c r="E352" s="30" t="n"/>
      <c r="F352" s="32">
        <f>IF(AND(ISNUMBER(D352),ISNUMBER(E352)),D352*E352,"")</f>
        <v/>
      </c>
      <c r="G352" s="31" t="n"/>
      <c r="H352" s="32">
        <f>IF(C352="SELL",F352-SUMIFS($F$2:$F$1000,$B$2:$B$1000,B352,$C$2:$C$1000,"&lt;&gt;SELL",$A$2:$A$1000,"&gt;"&amp;_xlfn.MAXIFS($A$2:$A$1000,$B$2:$B$1000,B352,$C$2:$C$1000,"SELL",$A$2:$A$1000,"&lt;"&amp;A352),$A$2:$A$1000,"&lt;="&amp;A352),"")</f>
        <v/>
      </c>
    </row>
    <row r="353">
      <c r="A353" s="29" t="n"/>
      <c r="B353" s="30" t="n"/>
      <c r="C353" s="30" t="n"/>
      <c r="D353" s="31" t="n"/>
      <c r="E353" s="30" t="n"/>
      <c r="F353" s="32">
        <f>IF(AND(ISNUMBER(D353),ISNUMBER(E353)),D353*E353,"")</f>
        <v/>
      </c>
      <c r="G353" s="31" t="n"/>
      <c r="H353" s="32">
        <f>IF(C353="SELL",F353-SUMIFS($F$2:$F$1000,$B$2:$B$1000,B353,$C$2:$C$1000,"&lt;&gt;SELL",$A$2:$A$1000,"&gt;"&amp;_xlfn.MAXIFS($A$2:$A$1000,$B$2:$B$1000,B353,$C$2:$C$1000,"SELL",$A$2:$A$1000,"&lt;"&amp;A353),$A$2:$A$1000,"&lt;="&amp;A353),"")</f>
        <v/>
      </c>
    </row>
    <row r="354">
      <c r="A354" s="29" t="n"/>
      <c r="B354" s="30" t="n"/>
      <c r="C354" s="30" t="n"/>
      <c r="D354" s="31" t="n"/>
      <c r="E354" s="30" t="n"/>
      <c r="F354" s="32">
        <f>IF(AND(ISNUMBER(D354),ISNUMBER(E354)),D354*E354,"")</f>
        <v/>
      </c>
      <c r="G354" s="31" t="n"/>
      <c r="H354" s="32">
        <f>IF(C354="SELL",F354-SUMIFS($F$2:$F$1000,$B$2:$B$1000,B354,$C$2:$C$1000,"&lt;&gt;SELL",$A$2:$A$1000,"&gt;"&amp;_xlfn.MAXIFS($A$2:$A$1000,$B$2:$B$1000,B354,$C$2:$C$1000,"SELL",$A$2:$A$1000,"&lt;"&amp;A354),$A$2:$A$1000,"&lt;="&amp;A354),"")</f>
        <v/>
      </c>
    </row>
    <row r="355">
      <c r="A355" s="29" t="n"/>
      <c r="B355" s="30" t="n"/>
      <c r="C355" s="30" t="n"/>
      <c r="D355" s="31" t="n"/>
      <c r="E355" s="30" t="n"/>
      <c r="F355" s="32">
        <f>IF(AND(ISNUMBER(D355),ISNUMBER(E355)),D355*E355,"")</f>
        <v/>
      </c>
      <c r="G355" s="31" t="n"/>
      <c r="H355" s="32">
        <f>IF(C355="SELL",F355-SUMIFS($F$2:$F$1000,$B$2:$B$1000,B355,$C$2:$C$1000,"&lt;&gt;SELL",$A$2:$A$1000,"&gt;"&amp;_xlfn.MAXIFS($A$2:$A$1000,$B$2:$B$1000,B355,$C$2:$C$1000,"SELL",$A$2:$A$1000,"&lt;"&amp;A355),$A$2:$A$1000,"&lt;="&amp;A355),"")</f>
        <v/>
      </c>
    </row>
    <row r="356">
      <c r="A356" s="29" t="n"/>
      <c r="B356" s="30" t="n"/>
      <c r="C356" s="30" t="n"/>
      <c r="D356" s="31" t="n"/>
      <c r="E356" s="30" t="n"/>
      <c r="F356" s="32">
        <f>IF(AND(ISNUMBER(D356),ISNUMBER(E356)),D356*E356,"")</f>
        <v/>
      </c>
      <c r="G356" s="31" t="n"/>
      <c r="H356" s="32">
        <f>IF(C356="SELL",F356-SUMIFS($F$2:$F$1000,$B$2:$B$1000,B356,$C$2:$C$1000,"&lt;&gt;SELL",$A$2:$A$1000,"&gt;"&amp;_xlfn.MAXIFS($A$2:$A$1000,$B$2:$B$1000,B356,$C$2:$C$1000,"SELL",$A$2:$A$1000,"&lt;"&amp;A356),$A$2:$A$1000,"&lt;="&amp;A356),"")</f>
        <v/>
      </c>
    </row>
    <row r="357">
      <c r="A357" s="29" t="n"/>
      <c r="B357" s="30" t="n"/>
      <c r="C357" s="30" t="n"/>
      <c r="D357" s="31" t="n"/>
      <c r="E357" s="30" t="n"/>
      <c r="F357" s="32">
        <f>IF(AND(ISNUMBER(D357),ISNUMBER(E357)),D357*E357,"")</f>
        <v/>
      </c>
      <c r="G357" s="31" t="n"/>
      <c r="H357" s="32">
        <f>IF(C357="SELL",F357-SUMIFS($F$2:$F$1000,$B$2:$B$1000,B357,$C$2:$C$1000,"&lt;&gt;SELL",$A$2:$A$1000,"&gt;"&amp;_xlfn.MAXIFS($A$2:$A$1000,$B$2:$B$1000,B357,$C$2:$C$1000,"SELL",$A$2:$A$1000,"&lt;"&amp;A357),$A$2:$A$1000,"&lt;="&amp;A357),"")</f>
        <v/>
      </c>
    </row>
    <row r="358">
      <c r="A358" s="29" t="n"/>
      <c r="B358" s="30" t="n"/>
      <c r="C358" s="30" t="n"/>
      <c r="D358" s="31" t="n"/>
      <c r="E358" s="30" t="n"/>
      <c r="F358" s="32">
        <f>IF(AND(ISNUMBER(D358),ISNUMBER(E358)),D358*E358,"")</f>
        <v/>
      </c>
      <c r="G358" s="31" t="n"/>
      <c r="H358" s="32">
        <f>IF(C358="SELL",F358-SUMIFS($F$2:$F$1000,$B$2:$B$1000,B358,$C$2:$C$1000,"&lt;&gt;SELL",$A$2:$A$1000,"&gt;"&amp;_xlfn.MAXIFS($A$2:$A$1000,$B$2:$B$1000,B358,$C$2:$C$1000,"SELL",$A$2:$A$1000,"&lt;"&amp;A358),$A$2:$A$1000,"&lt;="&amp;A358),"")</f>
        <v/>
      </c>
    </row>
    <row r="359">
      <c r="A359" s="29" t="n"/>
      <c r="B359" s="30" t="n"/>
      <c r="C359" s="30" t="n"/>
      <c r="D359" s="31" t="n"/>
      <c r="E359" s="30" t="n"/>
      <c r="F359" s="32">
        <f>IF(AND(ISNUMBER(D359),ISNUMBER(E359)),D359*E359,"")</f>
        <v/>
      </c>
      <c r="G359" s="31" t="n"/>
      <c r="H359" s="32">
        <f>IF(C359="SELL",F359-SUMIFS($F$2:$F$1000,$B$2:$B$1000,B359,$C$2:$C$1000,"&lt;&gt;SELL",$A$2:$A$1000,"&gt;"&amp;_xlfn.MAXIFS($A$2:$A$1000,$B$2:$B$1000,B359,$C$2:$C$1000,"SELL",$A$2:$A$1000,"&lt;"&amp;A359),$A$2:$A$1000,"&lt;="&amp;A359),"")</f>
        <v/>
      </c>
    </row>
    <row r="360">
      <c r="A360" s="29" t="n"/>
      <c r="B360" s="30" t="n"/>
      <c r="C360" s="30" t="n"/>
      <c r="D360" s="31" t="n"/>
      <c r="E360" s="30" t="n"/>
      <c r="F360" s="32">
        <f>IF(AND(ISNUMBER(D360),ISNUMBER(E360)),D360*E360,"")</f>
        <v/>
      </c>
      <c r="G360" s="31" t="n"/>
      <c r="H360" s="32">
        <f>IF(C360="SELL",F360-SUMIFS($F$2:$F$1000,$B$2:$B$1000,B360,$C$2:$C$1000,"&lt;&gt;SELL",$A$2:$A$1000,"&gt;"&amp;_xlfn.MAXIFS($A$2:$A$1000,$B$2:$B$1000,B360,$C$2:$C$1000,"SELL",$A$2:$A$1000,"&lt;"&amp;A360),$A$2:$A$1000,"&lt;="&amp;A360),"")</f>
        <v/>
      </c>
    </row>
    <row r="361">
      <c r="A361" s="29" t="n"/>
      <c r="B361" s="30" t="n"/>
      <c r="C361" s="30" t="n"/>
      <c r="D361" s="31" t="n"/>
      <c r="E361" s="30" t="n"/>
      <c r="F361" s="32">
        <f>IF(AND(ISNUMBER(D361),ISNUMBER(E361)),D361*E361,"")</f>
        <v/>
      </c>
      <c r="G361" s="31" t="n"/>
      <c r="H361" s="32">
        <f>IF(C361="SELL",F361-SUMIFS($F$2:$F$1000,$B$2:$B$1000,B361,$C$2:$C$1000,"&lt;&gt;SELL",$A$2:$A$1000,"&gt;"&amp;_xlfn.MAXIFS($A$2:$A$1000,$B$2:$B$1000,B361,$C$2:$C$1000,"SELL",$A$2:$A$1000,"&lt;"&amp;A361),$A$2:$A$1000,"&lt;="&amp;A361),"")</f>
        <v/>
      </c>
    </row>
    <row r="362">
      <c r="A362" s="29" t="n"/>
      <c r="B362" s="30" t="n"/>
      <c r="C362" s="30" t="n"/>
      <c r="D362" s="31" t="n"/>
      <c r="E362" s="30" t="n"/>
      <c r="F362" s="32">
        <f>IF(AND(ISNUMBER(D362),ISNUMBER(E362)),D362*E362,"")</f>
        <v/>
      </c>
      <c r="G362" s="31" t="n"/>
      <c r="H362" s="32">
        <f>IF(C362="SELL",F362-SUMIFS($F$2:$F$1000,$B$2:$B$1000,B362,$C$2:$C$1000,"&lt;&gt;SELL",$A$2:$A$1000,"&gt;"&amp;_xlfn.MAXIFS($A$2:$A$1000,$B$2:$B$1000,B362,$C$2:$C$1000,"SELL",$A$2:$A$1000,"&lt;"&amp;A362),$A$2:$A$1000,"&lt;="&amp;A362),"")</f>
        <v/>
      </c>
    </row>
    <row r="363">
      <c r="A363" s="29" t="n"/>
      <c r="B363" s="30" t="n"/>
      <c r="C363" s="30" t="n"/>
      <c r="D363" s="31" t="n"/>
      <c r="E363" s="30" t="n"/>
      <c r="F363" s="32">
        <f>IF(AND(ISNUMBER(D363),ISNUMBER(E363)),D363*E363,"")</f>
        <v/>
      </c>
      <c r="G363" s="31" t="n"/>
      <c r="H363" s="32">
        <f>IF(C363="SELL",F363-SUMIFS($F$2:$F$1000,$B$2:$B$1000,B363,$C$2:$C$1000,"&lt;&gt;SELL",$A$2:$A$1000,"&gt;"&amp;_xlfn.MAXIFS($A$2:$A$1000,$B$2:$B$1000,B363,$C$2:$C$1000,"SELL",$A$2:$A$1000,"&lt;"&amp;A363),$A$2:$A$1000,"&lt;="&amp;A363),"")</f>
        <v/>
      </c>
    </row>
    <row r="364">
      <c r="A364" s="29" t="n"/>
      <c r="B364" s="30" t="n"/>
      <c r="C364" s="30" t="n"/>
      <c r="D364" s="31" t="n"/>
      <c r="E364" s="30" t="n"/>
      <c r="F364" s="32">
        <f>IF(AND(ISNUMBER(D364),ISNUMBER(E364)),D364*E364,"")</f>
        <v/>
      </c>
      <c r="G364" s="31" t="n"/>
      <c r="H364" s="32">
        <f>IF(C364="SELL",F364-SUMIFS($F$2:$F$1000,$B$2:$B$1000,B364,$C$2:$C$1000,"&lt;&gt;SELL",$A$2:$A$1000,"&gt;"&amp;_xlfn.MAXIFS($A$2:$A$1000,$B$2:$B$1000,B364,$C$2:$C$1000,"SELL",$A$2:$A$1000,"&lt;"&amp;A364),$A$2:$A$1000,"&lt;="&amp;A364),"")</f>
        <v/>
      </c>
    </row>
    <row r="365">
      <c r="A365" s="29" t="n"/>
      <c r="B365" s="30" t="n"/>
      <c r="C365" s="30" t="n"/>
      <c r="D365" s="31" t="n"/>
      <c r="E365" s="30" t="n"/>
      <c r="F365" s="32">
        <f>IF(AND(ISNUMBER(D365),ISNUMBER(E365)),D365*E365,"")</f>
        <v/>
      </c>
      <c r="G365" s="31" t="n"/>
      <c r="H365" s="32">
        <f>IF(C365="SELL",F365-SUMIFS($F$2:$F$1000,$B$2:$B$1000,B365,$C$2:$C$1000,"&lt;&gt;SELL",$A$2:$A$1000,"&gt;"&amp;_xlfn.MAXIFS($A$2:$A$1000,$B$2:$B$1000,B365,$C$2:$C$1000,"SELL",$A$2:$A$1000,"&lt;"&amp;A365),$A$2:$A$1000,"&lt;="&amp;A365),"")</f>
        <v/>
      </c>
    </row>
    <row r="366">
      <c r="A366" s="29" t="n"/>
      <c r="B366" s="30" t="n"/>
      <c r="C366" s="30" t="n"/>
      <c r="D366" s="31" t="n"/>
      <c r="E366" s="30" t="n"/>
      <c r="F366" s="32">
        <f>IF(AND(ISNUMBER(D366),ISNUMBER(E366)),D366*E366,"")</f>
        <v/>
      </c>
      <c r="G366" s="31" t="n"/>
      <c r="H366" s="32">
        <f>IF(C366="SELL",F366-SUMIFS($F$2:$F$1000,$B$2:$B$1000,B366,$C$2:$C$1000,"&lt;&gt;SELL",$A$2:$A$1000,"&gt;"&amp;_xlfn.MAXIFS($A$2:$A$1000,$B$2:$B$1000,B366,$C$2:$C$1000,"SELL",$A$2:$A$1000,"&lt;"&amp;A366),$A$2:$A$1000,"&lt;="&amp;A366),"")</f>
        <v/>
      </c>
    </row>
    <row r="367">
      <c r="A367" s="29" t="n"/>
      <c r="B367" s="30" t="n"/>
      <c r="C367" s="30" t="n"/>
      <c r="D367" s="31" t="n"/>
      <c r="E367" s="30" t="n"/>
      <c r="F367" s="32">
        <f>IF(AND(ISNUMBER(D367),ISNUMBER(E367)),D367*E367,"")</f>
        <v/>
      </c>
      <c r="G367" s="31" t="n"/>
      <c r="H367" s="32">
        <f>IF(C367="SELL",F367-SUMIFS($F$2:$F$1000,$B$2:$B$1000,B367,$C$2:$C$1000,"&lt;&gt;SELL",$A$2:$A$1000,"&gt;"&amp;_xlfn.MAXIFS($A$2:$A$1000,$B$2:$B$1000,B367,$C$2:$C$1000,"SELL",$A$2:$A$1000,"&lt;"&amp;A367),$A$2:$A$1000,"&lt;="&amp;A367),"")</f>
        <v/>
      </c>
    </row>
    <row r="368">
      <c r="A368" s="29" t="n"/>
      <c r="B368" s="30" t="n"/>
      <c r="C368" s="30" t="n"/>
      <c r="D368" s="31" t="n"/>
      <c r="E368" s="30" t="n"/>
      <c r="F368" s="32">
        <f>IF(AND(ISNUMBER(D368),ISNUMBER(E368)),D368*E368,"")</f>
        <v/>
      </c>
      <c r="G368" s="31" t="n"/>
      <c r="H368" s="32">
        <f>IF(C368="SELL",F368-SUMIFS($F$2:$F$1000,$B$2:$B$1000,B368,$C$2:$C$1000,"&lt;&gt;SELL",$A$2:$A$1000,"&gt;"&amp;_xlfn.MAXIFS($A$2:$A$1000,$B$2:$B$1000,B368,$C$2:$C$1000,"SELL",$A$2:$A$1000,"&lt;"&amp;A368),$A$2:$A$1000,"&lt;="&amp;A368),"")</f>
        <v/>
      </c>
    </row>
    <row r="369">
      <c r="A369" s="29" t="n"/>
      <c r="B369" s="30" t="n"/>
      <c r="C369" s="30" t="n"/>
      <c r="D369" s="31" t="n"/>
      <c r="E369" s="30" t="n"/>
      <c r="F369" s="32">
        <f>IF(AND(ISNUMBER(D369),ISNUMBER(E369)),D369*E369,"")</f>
        <v/>
      </c>
      <c r="G369" s="31" t="n"/>
      <c r="H369" s="32">
        <f>IF(C369="SELL",F369-SUMIFS($F$2:$F$1000,$B$2:$B$1000,B369,$C$2:$C$1000,"&lt;&gt;SELL",$A$2:$A$1000,"&gt;"&amp;_xlfn.MAXIFS($A$2:$A$1000,$B$2:$B$1000,B369,$C$2:$C$1000,"SELL",$A$2:$A$1000,"&lt;"&amp;A369),$A$2:$A$1000,"&lt;="&amp;A369),"")</f>
        <v/>
      </c>
    </row>
    <row r="370">
      <c r="A370" s="29" t="n"/>
      <c r="B370" s="30" t="n"/>
      <c r="C370" s="30" t="n"/>
      <c r="D370" s="31" t="n"/>
      <c r="E370" s="30" t="n"/>
      <c r="F370" s="32">
        <f>IF(AND(ISNUMBER(D370),ISNUMBER(E370)),D370*E370,"")</f>
        <v/>
      </c>
      <c r="G370" s="31" t="n"/>
      <c r="H370" s="32">
        <f>IF(C370="SELL",F370-SUMIFS($F$2:$F$1000,$B$2:$B$1000,B370,$C$2:$C$1000,"&lt;&gt;SELL",$A$2:$A$1000,"&gt;"&amp;_xlfn.MAXIFS($A$2:$A$1000,$B$2:$B$1000,B370,$C$2:$C$1000,"SELL",$A$2:$A$1000,"&lt;"&amp;A370),$A$2:$A$1000,"&lt;="&amp;A370),"")</f>
        <v/>
      </c>
    </row>
    <row r="371">
      <c r="A371" s="29" t="n"/>
      <c r="B371" s="30" t="n"/>
      <c r="C371" s="30" t="n"/>
      <c r="D371" s="31" t="n"/>
      <c r="E371" s="30" t="n"/>
      <c r="F371" s="32">
        <f>IF(AND(ISNUMBER(D371),ISNUMBER(E371)),D371*E371,"")</f>
        <v/>
      </c>
      <c r="G371" s="31" t="n"/>
      <c r="H371" s="32">
        <f>IF(C371="SELL",F371-SUMIFS($F$2:$F$1000,$B$2:$B$1000,B371,$C$2:$C$1000,"&lt;&gt;SELL",$A$2:$A$1000,"&gt;"&amp;_xlfn.MAXIFS($A$2:$A$1000,$B$2:$B$1000,B371,$C$2:$C$1000,"SELL",$A$2:$A$1000,"&lt;"&amp;A371),$A$2:$A$1000,"&lt;="&amp;A371),"")</f>
        <v/>
      </c>
    </row>
    <row r="372">
      <c r="A372" s="29" t="n"/>
      <c r="B372" s="30" t="n"/>
      <c r="C372" s="30" t="n"/>
      <c r="D372" s="31" t="n"/>
      <c r="E372" s="30" t="n"/>
      <c r="F372" s="32">
        <f>IF(AND(ISNUMBER(D372),ISNUMBER(E372)),D372*E372,"")</f>
        <v/>
      </c>
      <c r="G372" s="31" t="n"/>
      <c r="H372" s="32">
        <f>IF(C372="SELL",F372-SUMIFS($F$2:$F$1000,$B$2:$B$1000,B372,$C$2:$C$1000,"&lt;&gt;SELL",$A$2:$A$1000,"&gt;"&amp;_xlfn.MAXIFS($A$2:$A$1000,$B$2:$B$1000,B372,$C$2:$C$1000,"SELL",$A$2:$A$1000,"&lt;"&amp;A372),$A$2:$A$1000,"&lt;="&amp;A372),"")</f>
        <v/>
      </c>
    </row>
    <row r="373">
      <c r="A373" s="29" t="n"/>
      <c r="B373" s="30" t="n"/>
      <c r="C373" s="30" t="n"/>
      <c r="D373" s="31" t="n"/>
      <c r="E373" s="30" t="n"/>
      <c r="F373" s="32">
        <f>IF(AND(ISNUMBER(D373),ISNUMBER(E373)),D373*E373,"")</f>
        <v/>
      </c>
      <c r="G373" s="31" t="n"/>
      <c r="H373" s="32">
        <f>IF(C373="SELL",F373-SUMIFS($F$2:$F$1000,$B$2:$B$1000,B373,$C$2:$C$1000,"&lt;&gt;SELL",$A$2:$A$1000,"&gt;"&amp;_xlfn.MAXIFS($A$2:$A$1000,$B$2:$B$1000,B373,$C$2:$C$1000,"SELL",$A$2:$A$1000,"&lt;"&amp;A373),$A$2:$A$1000,"&lt;="&amp;A373),"")</f>
        <v/>
      </c>
    </row>
    <row r="374">
      <c r="A374" s="29" t="n"/>
      <c r="B374" s="30" t="n"/>
      <c r="C374" s="30" t="n"/>
      <c r="D374" s="31" t="n"/>
      <c r="E374" s="30" t="n"/>
      <c r="F374" s="32">
        <f>IF(AND(ISNUMBER(D374),ISNUMBER(E374)),D374*E374,"")</f>
        <v/>
      </c>
      <c r="G374" s="31" t="n"/>
      <c r="H374" s="32">
        <f>IF(C374="SELL",F374-SUMIFS($F$2:$F$1000,$B$2:$B$1000,B374,$C$2:$C$1000,"&lt;&gt;SELL",$A$2:$A$1000,"&gt;"&amp;_xlfn.MAXIFS($A$2:$A$1000,$B$2:$B$1000,B374,$C$2:$C$1000,"SELL",$A$2:$A$1000,"&lt;"&amp;A374),$A$2:$A$1000,"&lt;="&amp;A374),"")</f>
        <v/>
      </c>
    </row>
    <row r="375">
      <c r="A375" s="29" t="n"/>
      <c r="B375" s="30" t="n"/>
      <c r="C375" s="30" t="n"/>
      <c r="D375" s="31" t="n"/>
      <c r="E375" s="30" t="n"/>
      <c r="F375" s="32">
        <f>IF(AND(ISNUMBER(D375),ISNUMBER(E375)),D375*E375,"")</f>
        <v/>
      </c>
      <c r="G375" s="31" t="n"/>
      <c r="H375" s="32">
        <f>IF(C375="SELL",F375-SUMIFS($F$2:$F$1000,$B$2:$B$1000,B375,$C$2:$C$1000,"&lt;&gt;SELL",$A$2:$A$1000,"&gt;"&amp;_xlfn.MAXIFS($A$2:$A$1000,$B$2:$B$1000,B375,$C$2:$C$1000,"SELL",$A$2:$A$1000,"&lt;"&amp;A375),$A$2:$A$1000,"&lt;="&amp;A375),"")</f>
        <v/>
      </c>
    </row>
    <row r="376">
      <c r="A376" s="29" t="n"/>
      <c r="B376" s="30" t="n"/>
      <c r="C376" s="30" t="n"/>
      <c r="D376" s="31" t="n"/>
      <c r="E376" s="30" t="n"/>
      <c r="F376" s="32">
        <f>IF(AND(ISNUMBER(D376),ISNUMBER(E376)),D376*E376,"")</f>
        <v/>
      </c>
      <c r="G376" s="31" t="n"/>
      <c r="H376" s="32">
        <f>IF(C376="SELL",F376-SUMIFS($F$2:$F$1000,$B$2:$B$1000,B376,$C$2:$C$1000,"&lt;&gt;SELL",$A$2:$A$1000,"&gt;"&amp;_xlfn.MAXIFS($A$2:$A$1000,$B$2:$B$1000,B376,$C$2:$C$1000,"SELL",$A$2:$A$1000,"&lt;"&amp;A376),$A$2:$A$1000,"&lt;="&amp;A376),"")</f>
        <v/>
      </c>
    </row>
    <row r="377">
      <c r="A377" s="29" t="n"/>
      <c r="B377" s="30" t="n"/>
      <c r="C377" s="30" t="n"/>
      <c r="D377" s="31" t="n"/>
      <c r="E377" s="30" t="n"/>
      <c r="F377" s="32">
        <f>IF(AND(ISNUMBER(D377),ISNUMBER(E377)),D377*E377,"")</f>
        <v/>
      </c>
      <c r="G377" s="31" t="n"/>
      <c r="H377" s="32">
        <f>IF(C377="SELL",F377-SUMIFS($F$2:$F$1000,$B$2:$B$1000,B377,$C$2:$C$1000,"&lt;&gt;SELL",$A$2:$A$1000,"&gt;"&amp;_xlfn.MAXIFS($A$2:$A$1000,$B$2:$B$1000,B377,$C$2:$C$1000,"SELL",$A$2:$A$1000,"&lt;"&amp;A377),$A$2:$A$1000,"&lt;="&amp;A377),"")</f>
        <v/>
      </c>
    </row>
    <row r="378">
      <c r="A378" s="29" t="n"/>
      <c r="B378" s="30" t="n"/>
      <c r="C378" s="30" t="n"/>
      <c r="D378" s="31" t="n"/>
      <c r="E378" s="30" t="n"/>
      <c r="F378" s="32">
        <f>IF(AND(ISNUMBER(D378),ISNUMBER(E378)),D378*E378,"")</f>
        <v/>
      </c>
      <c r="G378" s="31" t="n"/>
      <c r="H378" s="32">
        <f>IF(C378="SELL",F378-SUMIFS($F$2:$F$1000,$B$2:$B$1000,B378,$C$2:$C$1000,"&lt;&gt;SELL",$A$2:$A$1000,"&gt;"&amp;_xlfn.MAXIFS($A$2:$A$1000,$B$2:$B$1000,B378,$C$2:$C$1000,"SELL",$A$2:$A$1000,"&lt;"&amp;A378),$A$2:$A$1000,"&lt;="&amp;A378),"")</f>
        <v/>
      </c>
    </row>
    <row r="379">
      <c r="A379" s="29" t="n"/>
      <c r="B379" s="30" t="n"/>
      <c r="C379" s="30" t="n"/>
      <c r="D379" s="31" t="n"/>
      <c r="E379" s="30" t="n"/>
      <c r="F379" s="32">
        <f>IF(AND(ISNUMBER(D379),ISNUMBER(E379)),D379*E379,"")</f>
        <v/>
      </c>
      <c r="G379" s="31" t="n"/>
      <c r="H379" s="32">
        <f>IF(C379="SELL",F379-SUMIFS($F$2:$F$1000,$B$2:$B$1000,B379,$C$2:$C$1000,"&lt;&gt;SELL",$A$2:$A$1000,"&gt;"&amp;_xlfn.MAXIFS($A$2:$A$1000,$B$2:$B$1000,B379,$C$2:$C$1000,"SELL",$A$2:$A$1000,"&lt;"&amp;A379),$A$2:$A$1000,"&lt;="&amp;A379),"")</f>
        <v/>
      </c>
    </row>
    <row r="380">
      <c r="A380" s="29" t="n"/>
      <c r="B380" s="30" t="n"/>
      <c r="C380" s="30" t="n"/>
      <c r="D380" s="31" t="n"/>
      <c r="E380" s="30" t="n"/>
      <c r="F380" s="32">
        <f>IF(AND(ISNUMBER(D380),ISNUMBER(E380)),D380*E380,"")</f>
        <v/>
      </c>
      <c r="G380" s="31" t="n"/>
      <c r="H380" s="32">
        <f>IF(C380="SELL",F380-SUMIFS($F$2:$F$1000,$B$2:$B$1000,B380,$C$2:$C$1000,"&lt;&gt;SELL",$A$2:$A$1000,"&gt;"&amp;_xlfn.MAXIFS($A$2:$A$1000,$B$2:$B$1000,B380,$C$2:$C$1000,"SELL",$A$2:$A$1000,"&lt;"&amp;A380),$A$2:$A$1000,"&lt;="&amp;A380),"")</f>
        <v/>
      </c>
    </row>
    <row r="381">
      <c r="A381" s="29" t="n"/>
      <c r="B381" s="30" t="n"/>
      <c r="C381" s="30" t="n"/>
      <c r="D381" s="31" t="n"/>
      <c r="E381" s="30" t="n"/>
      <c r="F381" s="32">
        <f>IF(AND(ISNUMBER(D381),ISNUMBER(E381)),D381*E381,"")</f>
        <v/>
      </c>
      <c r="G381" s="31" t="n"/>
      <c r="H381" s="32">
        <f>IF(C381="SELL",F381-SUMIFS($F$2:$F$1000,$B$2:$B$1000,B381,$C$2:$C$1000,"&lt;&gt;SELL",$A$2:$A$1000,"&gt;"&amp;_xlfn.MAXIFS($A$2:$A$1000,$B$2:$B$1000,B381,$C$2:$C$1000,"SELL",$A$2:$A$1000,"&lt;"&amp;A381),$A$2:$A$1000,"&lt;="&amp;A381),"")</f>
        <v/>
      </c>
    </row>
    <row r="382">
      <c r="A382" s="29" t="n"/>
      <c r="B382" s="30" t="n"/>
      <c r="C382" s="30" t="n"/>
      <c r="D382" s="31" t="n"/>
      <c r="E382" s="30" t="n"/>
      <c r="F382" s="32">
        <f>IF(AND(ISNUMBER(D382),ISNUMBER(E382)),D382*E382,"")</f>
        <v/>
      </c>
      <c r="G382" s="31" t="n"/>
      <c r="H382" s="32">
        <f>IF(C382="SELL",F382-SUMIFS($F$2:$F$1000,$B$2:$B$1000,B382,$C$2:$C$1000,"&lt;&gt;SELL",$A$2:$A$1000,"&gt;"&amp;_xlfn.MAXIFS($A$2:$A$1000,$B$2:$B$1000,B382,$C$2:$C$1000,"SELL",$A$2:$A$1000,"&lt;"&amp;A382),$A$2:$A$1000,"&lt;="&amp;A382),"")</f>
        <v/>
      </c>
    </row>
    <row r="383">
      <c r="A383" s="29" t="n"/>
      <c r="B383" s="30" t="n"/>
      <c r="C383" s="30" t="n"/>
      <c r="D383" s="31" t="n"/>
      <c r="E383" s="30" t="n"/>
      <c r="F383" s="32">
        <f>IF(AND(ISNUMBER(D383),ISNUMBER(E383)),D383*E383,"")</f>
        <v/>
      </c>
      <c r="G383" s="31" t="n"/>
      <c r="H383" s="32">
        <f>IF(C383="SELL",F383-SUMIFS($F$2:$F$1000,$B$2:$B$1000,B383,$C$2:$C$1000,"&lt;&gt;SELL",$A$2:$A$1000,"&gt;"&amp;_xlfn.MAXIFS($A$2:$A$1000,$B$2:$B$1000,B383,$C$2:$C$1000,"SELL",$A$2:$A$1000,"&lt;"&amp;A383),$A$2:$A$1000,"&lt;="&amp;A383),"")</f>
        <v/>
      </c>
    </row>
    <row r="384">
      <c r="A384" s="29" t="n"/>
      <c r="B384" s="30" t="n"/>
      <c r="C384" s="30" t="n"/>
      <c r="D384" s="31" t="n"/>
      <c r="E384" s="30" t="n"/>
      <c r="F384" s="32">
        <f>IF(AND(ISNUMBER(D384),ISNUMBER(E384)),D384*E384,"")</f>
        <v/>
      </c>
      <c r="G384" s="31" t="n"/>
      <c r="H384" s="32">
        <f>IF(C384="SELL",F384-SUMIFS($F$2:$F$1000,$B$2:$B$1000,B384,$C$2:$C$1000,"&lt;&gt;SELL",$A$2:$A$1000,"&gt;"&amp;_xlfn.MAXIFS($A$2:$A$1000,$B$2:$B$1000,B384,$C$2:$C$1000,"SELL",$A$2:$A$1000,"&lt;"&amp;A384),$A$2:$A$1000,"&lt;="&amp;A384),"")</f>
        <v/>
      </c>
    </row>
    <row r="385">
      <c r="A385" s="29" t="n"/>
      <c r="B385" s="30" t="n"/>
      <c r="C385" s="30" t="n"/>
      <c r="D385" s="31" t="n"/>
      <c r="E385" s="30" t="n"/>
      <c r="F385" s="32">
        <f>IF(AND(ISNUMBER(D385),ISNUMBER(E385)),D385*E385,"")</f>
        <v/>
      </c>
      <c r="G385" s="31" t="n"/>
      <c r="H385" s="32">
        <f>IF(C385="SELL",F385-SUMIFS($F$2:$F$1000,$B$2:$B$1000,B385,$C$2:$C$1000,"&lt;&gt;SELL",$A$2:$A$1000,"&gt;"&amp;_xlfn.MAXIFS($A$2:$A$1000,$B$2:$B$1000,B385,$C$2:$C$1000,"SELL",$A$2:$A$1000,"&lt;"&amp;A385),$A$2:$A$1000,"&lt;="&amp;A385),"")</f>
        <v/>
      </c>
    </row>
    <row r="386">
      <c r="A386" s="29" t="n"/>
      <c r="B386" s="30" t="n"/>
      <c r="C386" s="30" t="n"/>
      <c r="D386" s="31" t="n"/>
      <c r="E386" s="30" t="n"/>
      <c r="F386" s="32">
        <f>IF(AND(ISNUMBER(D386),ISNUMBER(E386)),D386*E386,"")</f>
        <v/>
      </c>
      <c r="G386" s="31" t="n"/>
      <c r="H386" s="32">
        <f>IF(C386="SELL",F386-SUMIFS($F$2:$F$1000,$B$2:$B$1000,B386,$C$2:$C$1000,"&lt;&gt;SELL",$A$2:$A$1000,"&gt;"&amp;_xlfn.MAXIFS($A$2:$A$1000,$B$2:$B$1000,B386,$C$2:$C$1000,"SELL",$A$2:$A$1000,"&lt;"&amp;A386),$A$2:$A$1000,"&lt;="&amp;A386),"")</f>
        <v/>
      </c>
    </row>
    <row r="387">
      <c r="A387" s="29" t="n"/>
      <c r="B387" s="30" t="n"/>
      <c r="C387" s="30" t="n"/>
      <c r="D387" s="31" t="n"/>
      <c r="E387" s="30" t="n"/>
      <c r="F387" s="32">
        <f>IF(AND(ISNUMBER(D387),ISNUMBER(E387)),D387*E387,"")</f>
        <v/>
      </c>
      <c r="G387" s="31" t="n"/>
      <c r="H387" s="32">
        <f>IF(C387="SELL",F387-SUMIFS($F$2:$F$1000,$B$2:$B$1000,B387,$C$2:$C$1000,"&lt;&gt;SELL",$A$2:$A$1000,"&gt;"&amp;_xlfn.MAXIFS($A$2:$A$1000,$B$2:$B$1000,B387,$C$2:$C$1000,"SELL",$A$2:$A$1000,"&lt;"&amp;A387),$A$2:$A$1000,"&lt;="&amp;A387),"")</f>
        <v/>
      </c>
    </row>
    <row r="388">
      <c r="A388" s="29" t="n"/>
      <c r="B388" s="30" t="n"/>
      <c r="C388" s="30" t="n"/>
      <c r="D388" s="31" t="n"/>
      <c r="E388" s="30" t="n"/>
      <c r="F388" s="32">
        <f>IF(AND(ISNUMBER(D388),ISNUMBER(E388)),D388*E388,"")</f>
        <v/>
      </c>
      <c r="G388" s="31" t="n"/>
      <c r="H388" s="32">
        <f>IF(C388="SELL",F388-SUMIFS($F$2:$F$1000,$B$2:$B$1000,B388,$C$2:$C$1000,"&lt;&gt;SELL",$A$2:$A$1000,"&gt;"&amp;_xlfn.MAXIFS($A$2:$A$1000,$B$2:$B$1000,B388,$C$2:$C$1000,"SELL",$A$2:$A$1000,"&lt;"&amp;A388),$A$2:$A$1000,"&lt;="&amp;A388),"")</f>
        <v/>
      </c>
    </row>
    <row r="389">
      <c r="A389" s="29" t="n"/>
      <c r="B389" s="30" t="n"/>
      <c r="C389" s="30" t="n"/>
      <c r="D389" s="31" t="n"/>
      <c r="E389" s="30" t="n"/>
      <c r="F389" s="32">
        <f>IF(AND(ISNUMBER(D389),ISNUMBER(E389)),D389*E389,"")</f>
        <v/>
      </c>
      <c r="G389" s="31" t="n"/>
      <c r="H389" s="32">
        <f>IF(C389="SELL",F389-SUMIFS($F$2:$F$1000,$B$2:$B$1000,B389,$C$2:$C$1000,"&lt;&gt;SELL",$A$2:$A$1000,"&gt;"&amp;_xlfn.MAXIFS($A$2:$A$1000,$B$2:$B$1000,B389,$C$2:$C$1000,"SELL",$A$2:$A$1000,"&lt;"&amp;A389),$A$2:$A$1000,"&lt;="&amp;A389),"")</f>
        <v/>
      </c>
    </row>
    <row r="390">
      <c r="A390" s="29" t="n"/>
      <c r="B390" s="30" t="n"/>
      <c r="C390" s="30" t="n"/>
      <c r="D390" s="31" t="n"/>
      <c r="E390" s="30" t="n"/>
      <c r="F390" s="32">
        <f>IF(AND(ISNUMBER(D390),ISNUMBER(E390)),D390*E390,"")</f>
        <v/>
      </c>
      <c r="G390" s="31" t="n"/>
      <c r="H390" s="32">
        <f>IF(C390="SELL",F390-SUMIFS($F$2:$F$1000,$B$2:$B$1000,B390,$C$2:$C$1000,"&lt;&gt;SELL",$A$2:$A$1000,"&gt;"&amp;_xlfn.MAXIFS($A$2:$A$1000,$B$2:$B$1000,B390,$C$2:$C$1000,"SELL",$A$2:$A$1000,"&lt;"&amp;A390),$A$2:$A$1000,"&lt;="&amp;A390),"")</f>
        <v/>
      </c>
    </row>
    <row r="391">
      <c r="A391" s="29" t="n"/>
      <c r="B391" s="30" t="n"/>
      <c r="C391" s="30" t="n"/>
      <c r="D391" s="31" t="n"/>
      <c r="E391" s="30" t="n"/>
      <c r="F391" s="32">
        <f>IF(AND(ISNUMBER(D391),ISNUMBER(E391)),D391*E391,"")</f>
        <v/>
      </c>
      <c r="G391" s="31" t="n"/>
      <c r="H391" s="32">
        <f>IF(C391="SELL",F391-SUMIFS($F$2:$F$1000,$B$2:$B$1000,B391,$C$2:$C$1000,"&lt;&gt;SELL",$A$2:$A$1000,"&gt;"&amp;_xlfn.MAXIFS($A$2:$A$1000,$B$2:$B$1000,B391,$C$2:$C$1000,"SELL",$A$2:$A$1000,"&lt;"&amp;A391),$A$2:$A$1000,"&lt;="&amp;A391),"")</f>
        <v/>
      </c>
    </row>
    <row r="392">
      <c r="A392" s="29" t="n"/>
      <c r="B392" s="30" t="n"/>
      <c r="C392" s="30" t="n"/>
      <c r="D392" s="31" t="n"/>
      <c r="E392" s="30" t="n"/>
      <c r="F392" s="32">
        <f>IF(AND(ISNUMBER(D392),ISNUMBER(E392)),D392*E392,"")</f>
        <v/>
      </c>
      <c r="G392" s="31" t="n"/>
      <c r="H392" s="32">
        <f>IF(C392="SELL",F392-SUMIFS($F$2:$F$1000,$B$2:$B$1000,B392,$C$2:$C$1000,"&lt;&gt;SELL",$A$2:$A$1000,"&gt;"&amp;_xlfn.MAXIFS($A$2:$A$1000,$B$2:$B$1000,B392,$C$2:$C$1000,"SELL",$A$2:$A$1000,"&lt;"&amp;A392),$A$2:$A$1000,"&lt;="&amp;A392),"")</f>
        <v/>
      </c>
    </row>
    <row r="393">
      <c r="A393" s="29" t="n"/>
      <c r="B393" s="30" t="n"/>
      <c r="C393" s="30" t="n"/>
      <c r="D393" s="31" t="n"/>
      <c r="E393" s="30" t="n"/>
      <c r="F393" s="32">
        <f>IF(AND(ISNUMBER(D393),ISNUMBER(E393)),D393*E393,"")</f>
        <v/>
      </c>
      <c r="G393" s="31" t="n"/>
      <c r="H393" s="32">
        <f>IF(C393="SELL",F393-SUMIFS($F$2:$F$1000,$B$2:$B$1000,B393,$C$2:$C$1000,"&lt;&gt;SELL",$A$2:$A$1000,"&gt;"&amp;_xlfn.MAXIFS($A$2:$A$1000,$B$2:$B$1000,B393,$C$2:$C$1000,"SELL",$A$2:$A$1000,"&lt;"&amp;A393),$A$2:$A$1000,"&lt;="&amp;A393),"")</f>
        <v/>
      </c>
    </row>
    <row r="394">
      <c r="A394" s="29" t="n"/>
      <c r="B394" s="30" t="n"/>
      <c r="C394" s="30" t="n"/>
      <c r="D394" s="31" t="n"/>
      <c r="E394" s="30" t="n"/>
      <c r="F394" s="32">
        <f>IF(AND(ISNUMBER(D394),ISNUMBER(E394)),D394*E394,"")</f>
        <v/>
      </c>
      <c r="G394" s="31" t="n"/>
      <c r="H394" s="32">
        <f>IF(C394="SELL",F394-SUMIFS($F$2:$F$1000,$B$2:$B$1000,B394,$C$2:$C$1000,"&lt;&gt;SELL",$A$2:$A$1000,"&gt;"&amp;_xlfn.MAXIFS($A$2:$A$1000,$B$2:$B$1000,B394,$C$2:$C$1000,"SELL",$A$2:$A$1000,"&lt;"&amp;A394),$A$2:$A$1000,"&lt;="&amp;A394),"")</f>
        <v/>
      </c>
    </row>
    <row r="395">
      <c r="A395" s="29" t="n"/>
      <c r="B395" s="30" t="n"/>
      <c r="C395" s="30" t="n"/>
      <c r="D395" s="31" t="n"/>
      <c r="E395" s="30" t="n"/>
      <c r="F395" s="32">
        <f>IF(AND(ISNUMBER(D395),ISNUMBER(E395)),D395*E395,"")</f>
        <v/>
      </c>
      <c r="G395" s="31" t="n"/>
      <c r="H395" s="32">
        <f>IF(C395="SELL",F395-SUMIFS($F$2:$F$1000,$B$2:$B$1000,B395,$C$2:$C$1000,"&lt;&gt;SELL",$A$2:$A$1000,"&gt;"&amp;_xlfn.MAXIFS($A$2:$A$1000,$B$2:$B$1000,B395,$C$2:$C$1000,"SELL",$A$2:$A$1000,"&lt;"&amp;A395),$A$2:$A$1000,"&lt;="&amp;A395),"")</f>
        <v/>
      </c>
    </row>
    <row r="396">
      <c r="A396" s="29" t="n"/>
      <c r="B396" s="30" t="n"/>
      <c r="C396" s="30" t="n"/>
      <c r="D396" s="31" t="n"/>
      <c r="E396" s="30" t="n"/>
      <c r="F396" s="32">
        <f>IF(AND(ISNUMBER(D396),ISNUMBER(E396)),D396*E396,"")</f>
        <v/>
      </c>
      <c r="G396" s="31" t="n"/>
      <c r="H396" s="32">
        <f>IF(C396="SELL",F396-SUMIFS($F$2:$F$1000,$B$2:$B$1000,B396,$C$2:$C$1000,"&lt;&gt;SELL",$A$2:$A$1000,"&gt;"&amp;_xlfn.MAXIFS($A$2:$A$1000,$B$2:$B$1000,B396,$C$2:$C$1000,"SELL",$A$2:$A$1000,"&lt;"&amp;A396),$A$2:$A$1000,"&lt;="&amp;A396),"")</f>
        <v/>
      </c>
    </row>
    <row r="397">
      <c r="A397" s="29" t="n"/>
      <c r="B397" s="30" t="n"/>
      <c r="C397" s="30" t="n"/>
      <c r="D397" s="31" t="n"/>
      <c r="E397" s="30" t="n"/>
      <c r="F397" s="32">
        <f>IF(AND(ISNUMBER(D397),ISNUMBER(E397)),D397*E397,"")</f>
        <v/>
      </c>
      <c r="G397" s="31" t="n"/>
      <c r="H397" s="32">
        <f>IF(C397="SELL",F397-SUMIFS($F$2:$F$1000,$B$2:$B$1000,B397,$C$2:$C$1000,"&lt;&gt;SELL",$A$2:$A$1000,"&gt;"&amp;_xlfn.MAXIFS($A$2:$A$1000,$B$2:$B$1000,B397,$C$2:$C$1000,"SELL",$A$2:$A$1000,"&lt;"&amp;A397),$A$2:$A$1000,"&lt;="&amp;A397),"")</f>
        <v/>
      </c>
    </row>
    <row r="398">
      <c r="A398" s="29" t="n"/>
      <c r="B398" s="30" t="n"/>
      <c r="C398" s="30" t="n"/>
      <c r="D398" s="31" t="n"/>
      <c r="E398" s="30" t="n"/>
      <c r="F398" s="32">
        <f>IF(AND(ISNUMBER(D398),ISNUMBER(E398)),D398*E398,"")</f>
        <v/>
      </c>
      <c r="G398" s="31" t="n"/>
      <c r="H398" s="32">
        <f>IF(C398="SELL",F398-SUMIFS($F$2:$F$1000,$B$2:$B$1000,B398,$C$2:$C$1000,"&lt;&gt;SELL",$A$2:$A$1000,"&gt;"&amp;_xlfn.MAXIFS($A$2:$A$1000,$B$2:$B$1000,B398,$C$2:$C$1000,"SELL",$A$2:$A$1000,"&lt;"&amp;A398),$A$2:$A$1000,"&lt;="&amp;A398),"")</f>
        <v/>
      </c>
    </row>
    <row r="399">
      <c r="A399" s="29" t="n"/>
      <c r="B399" s="30" t="n"/>
      <c r="C399" s="30" t="n"/>
      <c r="D399" s="31" t="n"/>
      <c r="E399" s="30" t="n"/>
      <c r="F399" s="32">
        <f>IF(AND(ISNUMBER(D399),ISNUMBER(E399)),D399*E399,"")</f>
        <v/>
      </c>
      <c r="G399" s="31" t="n"/>
      <c r="H399" s="32">
        <f>IF(C399="SELL",F399-SUMIFS($F$2:$F$1000,$B$2:$B$1000,B399,$C$2:$C$1000,"&lt;&gt;SELL",$A$2:$A$1000,"&gt;"&amp;_xlfn.MAXIFS($A$2:$A$1000,$B$2:$B$1000,B399,$C$2:$C$1000,"SELL",$A$2:$A$1000,"&lt;"&amp;A399),$A$2:$A$1000,"&lt;="&amp;A399),"")</f>
        <v/>
      </c>
    </row>
    <row r="400">
      <c r="A400" s="29" t="n"/>
      <c r="B400" s="30" t="n"/>
      <c r="C400" s="30" t="n"/>
      <c r="D400" s="31" t="n"/>
      <c r="E400" s="30" t="n"/>
      <c r="F400" s="32">
        <f>IF(AND(ISNUMBER(D400),ISNUMBER(E400)),D400*E400,"")</f>
        <v/>
      </c>
      <c r="G400" s="31" t="n"/>
      <c r="H400" s="32">
        <f>IF(C400="SELL",F400-SUMIFS($F$2:$F$1000,$B$2:$B$1000,B400,$C$2:$C$1000,"&lt;&gt;SELL",$A$2:$A$1000,"&gt;"&amp;_xlfn.MAXIFS($A$2:$A$1000,$B$2:$B$1000,B400,$C$2:$C$1000,"SELL",$A$2:$A$1000,"&lt;"&amp;A400),$A$2:$A$1000,"&lt;="&amp;A400),"")</f>
        <v/>
      </c>
    </row>
    <row r="401">
      <c r="A401" s="29" t="n"/>
      <c r="B401" s="30" t="n"/>
      <c r="C401" s="30" t="n"/>
      <c r="D401" s="31" t="n"/>
      <c r="E401" s="30" t="n"/>
      <c r="F401" s="32">
        <f>IF(AND(ISNUMBER(D401),ISNUMBER(E401)),D401*E401,"")</f>
        <v/>
      </c>
      <c r="G401" s="31" t="n"/>
      <c r="H401" s="32">
        <f>IF(C401="SELL",F401-SUMIFS($F$2:$F$1000,$B$2:$B$1000,B401,$C$2:$C$1000,"&lt;&gt;SELL",$A$2:$A$1000,"&gt;"&amp;_xlfn.MAXIFS($A$2:$A$1000,$B$2:$B$1000,B401,$C$2:$C$1000,"SELL",$A$2:$A$1000,"&lt;"&amp;A401),$A$2:$A$1000,"&lt;="&amp;A401),"")</f>
        <v/>
      </c>
    </row>
    <row r="402">
      <c r="A402" s="29" t="n"/>
      <c r="B402" s="30" t="n"/>
      <c r="C402" s="30" t="n"/>
      <c r="D402" s="31" t="n"/>
      <c r="E402" s="30" t="n"/>
      <c r="F402" s="32">
        <f>IF(AND(ISNUMBER(D402),ISNUMBER(E402)),D402*E402,"")</f>
        <v/>
      </c>
      <c r="G402" s="31" t="n"/>
      <c r="H402" s="32">
        <f>IF(C402="SELL",F402-SUMIFS($F$2:$F$1000,$B$2:$B$1000,B402,$C$2:$C$1000,"&lt;&gt;SELL",$A$2:$A$1000,"&gt;"&amp;_xlfn.MAXIFS($A$2:$A$1000,$B$2:$B$1000,B402,$C$2:$C$1000,"SELL",$A$2:$A$1000,"&lt;"&amp;A402),$A$2:$A$1000,"&lt;="&amp;A402),"")</f>
        <v/>
      </c>
    </row>
    <row r="403">
      <c r="A403" s="29" t="n"/>
      <c r="B403" s="30" t="n"/>
      <c r="C403" s="30" t="n"/>
      <c r="D403" s="31" t="n"/>
      <c r="E403" s="30" t="n"/>
      <c r="F403" s="32">
        <f>IF(AND(ISNUMBER(D403),ISNUMBER(E403)),D403*E403,"")</f>
        <v/>
      </c>
      <c r="G403" s="31" t="n"/>
      <c r="H403" s="32">
        <f>IF(C403="SELL",F403-SUMIFS($F$2:$F$1000,$B$2:$B$1000,B403,$C$2:$C$1000,"&lt;&gt;SELL",$A$2:$A$1000,"&gt;"&amp;_xlfn.MAXIFS($A$2:$A$1000,$B$2:$B$1000,B403,$C$2:$C$1000,"SELL",$A$2:$A$1000,"&lt;"&amp;A403),$A$2:$A$1000,"&lt;="&amp;A403),"")</f>
        <v/>
      </c>
    </row>
    <row r="404">
      <c r="A404" s="29" t="n"/>
      <c r="B404" s="30" t="n"/>
      <c r="C404" s="30" t="n"/>
      <c r="D404" s="31" t="n"/>
      <c r="E404" s="30" t="n"/>
      <c r="F404" s="32">
        <f>IF(AND(ISNUMBER(D404),ISNUMBER(E404)),D404*E404,"")</f>
        <v/>
      </c>
      <c r="G404" s="31" t="n"/>
      <c r="H404" s="32">
        <f>IF(C404="SELL",F404-SUMIFS($F$2:$F$1000,$B$2:$B$1000,B404,$C$2:$C$1000,"&lt;&gt;SELL",$A$2:$A$1000,"&gt;"&amp;_xlfn.MAXIFS($A$2:$A$1000,$B$2:$B$1000,B404,$C$2:$C$1000,"SELL",$A$2:$A$1000,"&lt;"&amp;A404),$A$2:$A$1000,"&lt;="&amp;A404),"")</f>
        <v/>
      </c>
    </row>
    <row r="405">
      <c r="A405" s="29" t="n"/>
      <c r="B405" s="30" t="n"/>
      <c r="C405" s="30" t="n"/>
      <c r="D405" s="31" t="n"/>
      <c r="E405" s="30" t="n"/>
      <c r="F405" s="32">
        <f>IF(AND(ISNUMBER(D405),ISNUMBER(E405)),D405*E405,"")</f>
        <v/>
      </c>
      <c r="G405" s="31" t="n"/>
      <c r="H405" s="32">
        <f>IF(C405="SELL",F405-SUMIFS($F$2:$F$1000,$B$2:$B$1000,B405,$C$2:$C$1000,"&lt;&gt;SELL",$A$2:$A$1000,"&gt;"&amp;_xlfn.MAXIFS($A$2:$A$1000,$B$2:$B$1000,B405,$C$2:$C$1000,"SELL",$A$2:$A$1000,"&lt;"&amp;A405),$A$2:$A$1000,"&lt;="&amp;A405),"")</f>
        <v/>
      </c>
    </row>
    <row r="406">
      <c r="A406" s="29" t="n"/>
      <c r="B406" s="30" t="n"/>
      <c r="C406" s="30" t="n"/>
      <c r="D406" s="31" t="n"/>
      <c r="E406" s="30" t="n"/>
      <c r="F406" s="32">
        <f>IF(AND(ISNUMBER(D406),ISNUMBER(E406)),D406*E406,"")</f>
        <v/>
      </c>
      <c r="G406" s="31" t="n"/>
      <c r="H406" s="32">
        <f>IF(C406="SELL",F406-SUMIFS($F$2:$F$1000,$B$2:$B$1000,B406,$C$2:$C$1000,"&lt;&gt;SELL",$A$2:$A$1000,"&gt;"&amp;_xlfn.MAXIFS($A$2:$A$1000,$B$2:$B$1000,B406,$C$2:$C$1000,"SELL",$A$2:$A$1000,"&lt;"&amp;A406),$A$2:$A$1000,"&lt;="&amp;A406),"")</f>
        <v/>
      </c>
    </row>
    <row r="407">
      <c r="A407" s="29" t="n"/>
      <c r="B407" s="30" t="n"/>
      <c r="C407" s="30" t="n"/>
      <c r="D407" s="31" t="n"/>
      <c r="E407" s="30" t="n"/>
      <c r="F407" s="32">
        <f>IF(AND(ISNUMBER(D407),ISNUMBER(E407)),D407*E407,"")</f>
        <v/>
      </c>
      <c r="G407" s="31" t="n"/>
      <c r="H407" s="32">
        <f>IF(C407="SELL",F407-SUMIFS($F$2:$F$1000,$B$2:$B$1000,B407,$C$2:$C$1000,"&lt;&gt;SELL",$A$2:$A$1000,"&gt;"&amp;_xlfn.MAXIFS($A$2:$A$1000,$B$2:$B$1000,B407,$C$2:$C$1000,"SELL",$A$2:$A$1000,"&lt;"&amp;A407),$A$2:$A$1000,"&lt;="&amp;A407),"")</f>
        <v/>
      </c>
    </row>
    <row r="408">
      <c r="A408" s="29" t="n"/>
      <c r="B408" s="30" t="n"/>
      <c r="C408" s="30" t="n"/>
      <c r="D408" s="31" t="n"/>
      <c r="E408" s="30" t="n"/>
      <c r="F408" s="32">
        <f>IF(AND(ISNUMBER(D408),ISNUMBER(E408)),D408*E408,"")</f>
        <v/>
      </c>
      <c r="G408" s="31" t="n"/>
      <c r="H408" s="32">
        <f>IF(C408="SELL",F408-SUMIFS($F$2:$F$1000,$B$2:$B$1000,B408,$C$2:$C$1000,"&lt;&gt;SELL",$A$2:$A$1000,"&gt;"&amp;_xlfn.MAXIFS($A$2:$A$1000,$B$2:$B$1000,B408,$C$2:$C$1000,"SELL",$A$2:$A$1000,"&lt;"&amp;A408),$A$2:$A$1000,"&lt;="&amp;A408),"")</f>
        <v/>
      </c>
    </row>
    <row r="409">
      <c r="A409" s="29" t="n"/>
      <c r="B409" s="30" t="n"/>
      <c r="C409" s="30" t="n"/>
      <c r="D409" s="31" t="n"/>
      <c r="E409" s="30" t="n"/>
      <c r="F409" s="32">
        <f>IF(AND(ISNUMBER(D409),ISNUMBER(E409)),D409*E409,"")</f>
        <v/>
      </c>
      <c r="G409" s="31" t="n"/>
      <c r="H409" s="32">
        <f>IF(C409="SELL",F409-SUMIFS($F$2:$F$1000,$B$2:$B$1000,B409,$C$2:$C$1000,"&lt;&gt;SELL",$A$2:$A$1000,"&gt;"&amp;_xlfn.MAXIFS($A$2:$A$1000,$B$2:$B$1000,B409,$C$2:$C$1000,"SELL",$A$2:$A$1000,"&lt;"&amp;A409),$A$2:$A$1000,"&lt;="&amp;A409),"")</f>
        <v/>
      </c>
    </row>
    <row r="410">
      <c r="A410" s="29" t="n"/>
      <c r="B410" s="30" t="n"/>
      <c r="C410" s="30" t="n"/>
      <c r="D410" s="31" t="n"/>
      <c r="E410" s="30" t="n"/>
      <c r="F410" s="32">
        <f>IF(AND(ISNUMBER(D410),ISNUMBER(E410)),D410*E410,"")</f>
        <v/>
      </c>
      <c r="G410" s="31" t="n"/>
      <c r="H410" s="32">
        <f>IF(C410="SELL",F410-SUMIFS($F$2:$F$1000,$B$2:$B$1000,B410,$C$2:$C$1000,"&lt;&gt;SELL",$A$2:$A$1000,"&gt;"&amp;_xlfn.MAXIFS($A$2:$A$1000,$B$2:$B$1000,B410,$C$2:$C$1000,"SELL",$A$2:$A$1000,"&lt;"&amp;A410),$A$2:$A$1000,"&lt;="&amp;A410),"")</f>
        <v/>
      </c>
    </row>
    <row r="411">
      <c r="A411" s="29" t="n"/>
      <c r="B411" s="30" t="n"/>
      <c r="C411" s="30" t="n"/>
      <c r="D411" s="31" t="n"/>
      <c r="E411" s="30" t="n"/>
      <c r="F411" s="32">
        <f>IF(AND(ISNUMBER(D411),ISNUMBER(E411)),D411*E411,"")</f>
        <v/>
      </c>
      <c r="G411" s="31" t="n"/>
      <c r="H411" s="32">
        <f>IF(C411="SELL",F411-SUMIFS($F$2:$F$1000,$B$2:$B$1000,B411,$C$2:$C$1000,"&lt;&gt;SELL",$A$2:$A$1000,"&gt;"&amp;_xlfn.MAXIFS($A$2:$A$1000,$B$2:$B$1000,B411,$C$2:$C$1000,"SELL",$A$2:$A$1000,"&lt;"&amp;A411),$A$2:$A$1000,"&lt;="&amp;A411),"")</f>
        <v/>
      </c>
    </row>
    <row r="412">
      <c r="A412" s="29" t="n"/>
      <c r="B412" s="30" t="n"/>
      <c r="C412" s="30" t="n"/>
      <c r="D412" s="31" t="n"/>
      <c r="E412" s="30" t="n"/>
      <c r="F412" s="32">
        <f>IF(AND(ISNUMBER(D412),ISNUMBER(E412)),D412*E412,"")</f>
        <v/>
      </c>
      <c r="G412" s="31" t="n"/>
      <c r="H412" s="32">
        <f>IF(C412="SELL",F412-SUMIFS($F$2:$F$1000,$B$2:$B$1000,B412,$C$2:$C$1000,"&lt;&gt;SELL",$A$2:$A$1000,"&gt;"&amp;_xlfn.MAXIFS($A$2:$A$1000,$B$2:$B$1000,B412,$C$2:$C$1000,"SELL",$A$2:$A$1000,"&lt;"&amp;A412),$A$2:$A$1000,"&lt;="&amp;A412),"")</f>
        <v/>
      </c>
    </row>
    <row r="413">
      <c r="A413" s="29" t="n"/>
      <c r="B413" s="30" t="n"/>
      <c r="C413" s="30" t="n"/>
      <c r="D413" s="31" t="n"/>
      <c r="E413" s="30" t="n"/>
      <c r="F413" s="32">
        <f>IF(AND(ISNUMBER(D413),ISNUMBER(E413)),D413*E413,"")</f>
        <v/>
      </c>
      <c r="G413" s="31" t="n"/>
      <c r="H413" s="32">
        <f>IF(C413="SELL",F413-SUMIFS($F$2:$F$1000,$B$2:$B$1000,B413,$C$2:$C$1000,"&lt;&gt;SELL",$A$2:$A$1000,"&gt;"&amp;_xlfn.MAXIFS($A$2:$A$1000,$B$2:$B$1000,B413,$C$2:$C$1000,"SELL",$A$2:$A$1000,"&lt;"&amp;A413),$A$2:$A$1000,"&lt;="&amp;A413),"")</f>
        <v/>
      </c>
    </row>
    <row r="414">
      <c r="A414" s="29" t="n"/>
      <c r="B414" s="30" t="n"/>
      <c r="C414" s="30" t="n"/>
      <c r="D414" s="31" t="n"/>
      <c r="E414" s="30" t="n"/>
      <c r="F414" s="32">
        <f>IF(AND(ISNUMBER(D414),ISNUMBER(E414)),D414*E414,"")</f>
        <v/>
      </c>
      <c r="G414" s="31" t="n"/>
      <c r="H414" s="32">
        <f>IF(C414="SELL",F414-SUMIFS($F$2:$F$1000,$B$2:$B$1000,B414,$C$2:$C$1000,"&lt;&gt;SELL",$A$2:$A$1000,"&gt;"&amp;_xlfn.MAXIFS($A$2:$A$1000,$B$2:$B$1000,B414,$C$2:$C$1000,"SELL",$A$2:$A$1000,"&lt;"&amp;A414),$A$2:$A$1000,"&lt;="&amp;A414),"")</f>
        <v/>
      </c>
    </row>
    <row r="415">
      <c r="A415" s="29" t="n"/>
      <c r="B415" s="30" t="n"/>
      <c r="C415" s="30" t="n"/>
      <c r="D415" s="31" t="n"/>
      <c r="E415" s="30" t="n"/>
      <c r="F415" s="32">
        <f>IF(AND(ISNUMBER(D415),ISNUMBER(E415)),D415*E415,"")</f>
        <v/>
      </c>
      <c r="G415" s="31" t="n"/>
      <c r="H415" s="32">
        <f>IF(C415="SELL",F415-SUMIFS($F$2:$F$1000,$B$2:$B$1000,B415,$C$2:$C$1000,"&lt;&gt;SELL",$A$2:$A$1000,"&gt;"&amp;_xlfn.MAXIFS($A$2:$A$1000,$B$2:$B$1000,B415,$C$2:$C$1000,"SELL",$A$2:$A$1000,"&lt;"&amp;A415),$A$2:$A$1000,"&lt;="&amp;A415),"")</f>
        <v/>
      </c>
    </row>
    <row r="416">
      <c r="A416" s="29" t="n"/>
      <c r="B416" s="30" t="n"/>
      <c r="C416" s="30" t="n"/>
      <c r="D416" s="31" t="n"/>
      <c r="E416" s="30" t="n"/>
      <c r="F416" s="32">
        <f>IF(AND(ISNUMBER(D416),ISNUMBER(E416)),D416*E416,"")</f>
        <v/>
      </c>
      <c r="G416" s="31" t="n"/>
      <c r="H416" s="32">
        <f>IF(C416="SELL",F416-SUMIFS($F$2:$F$1000,$B$2:$B$1000,B416,$C$2:$C$1000,"&lt;&gt;SELL",$A$2:$A$1000,"&gt;"&amp;_xlfn.MAXIFS($A$2:$A$1000,$B$2:$B$1000,B416,$C$2:$C$1000,"SELL",$A$2:$A$1000,"&lt;"&amp;A416),$A$2:$A$1000,"&lt;="&amp;A416),"")</f>
        <v/>
      </c>
    </row>
    <row r="417">
      <c r="A417" s="29" t="n"/>
      <c r="B417" s="30" t="n"/>
      <c r="C417" s="30" t="n"/>
      <c r="D417" s="31" t="n"/>
      <c r="E417" s="30" t="n"/>
      <c r="F417" s="32">
        <f>IF(AND(ISNUMBER(D417),ISNUMBER(E417)),D417*E417,"")</f>
        <v/>
      </c>
      <c r="G417" s="31" t="n"/>
      <c r="H417" s="32">
        <f>IF(C417="SELL",F417-SUMIFS($F$2:$F$1000,$B$2:$B$1000,B417,$C$2:$C$1000,"&lt;&gt;SELL",$A$2:$A$1000,"&gt;"&amp;_xlfn.MAXIFS($A$2:$A$1000,$B$2:$B$1000,B417,$C$2:$C$1000,"SELL",$A$2:$A$1000,"&lt;"&amp;A417),$A$2:$A$1000,"&lt;="&amp;A417),"")</f>
        <v/>
      </c>
    </row>
    <row r="418">
      <c r="A418" s="29" t="n"/>
      <c r="B418" s="30" t="n"/>
      <c r="C418" s="30" t="n"/>
      <c r="D418" s="31" t="n"/>
      <c r="E418" s="30" t="n"/>
      <c r="F418" s="32">
        <f>IF(AND(ISNUMBER(D418),ISNUMBER(E418)),D418*E418,"")</f>
        <v/>
      </c>
      <c r="G418" s="31" t="n"/>
      <c r="H418" s="32">
        <f>IF(C418="SELL",F418-SUMIFS($F$2:$F$1000,$B$2:$B$1000,B418,$C$2:$C$1000,"&lt;&gt;SELL",$A$2:$A$1000,"&gt;"&amp;_xlfn.MAXIFS($A$2:$A$1000,$B$2:$B$1000,B418,$C$2:$C$1000,"SELL",$A$2:$A$1000,"&lt;"&amp;A418),$A$2:$A$1000,"&lt;="&amp;A418),"")</f>
        <v/>
      </c>
    </row>
    <row r="419">
      <c r="A419" s="29" t="n"/>
      <c r="B419" s="30" t="n"/>
      <c r="C419" s="30" t="n"/>
      <c r="D419" s="31" t="n"/>
      <c r="E419" s="30" t="n"/>
      <c r="F419" s="32">
        <f>IF(AND(ISNUMBER(D419),ISNUMBER(E419)),D419*E419,"")</f>
        <v/>
      </c>
      <c r="G419" s="31" t="n"/>
      <c r="H419" s="32">
        <f>IF(C419="SELL",F419-SUMIFS($F$2:$F$1000,$B$2:$B$1000,B419,$C$2:$C$1000,"&lt;&gt;SELL",$A$2:$A$1000,"&gt;"&amp;_xlfn.MAXIFS($A$2:$A$1000,$B$2:$B$1000,B419,$C$2:$C$1000,"SELL",$A$2:$A$1000,"&lt;"&amp;A419),$A$2:$A$1000,"&lt;="&amp;A419),"")</f>
        <v/>
      </c>
    </row>
    <row r="420">
      <c r="A420" s="29" t="n"/>
      <c r="B420" s="30" t="n"/>
      <c r="C420" s="30" t="n"/>
      <c r="D420" s="31" t="n"/>
      <c r="E420" s="30" t="n"/>
      <c r="F420" s="32">
        <f>IF(AND(ISNUMBER(D420),ISNUMBER(E420)),D420*E420,"")</f>
        <v/>
      </c>
      <c r="G420" s="31" t="n"/>
      <c r="H420" s="32">
        <f>IF(C420="SELL",F420-SUMIFS($F$2:$F$1000,$B$2:$B$1000,B420,$C$2:$C$1000,"&lt;&gt;SELL",$A$2:$A$1000,"&gt;"&amp;_xlfn.MAXIFS($A$2:$A$1000,$B$2:$B$1000,B420,$C$2:$C$1000,"SELL",$A$2:$A$1000,"&lt;"&amp;A420),$A$2:$A$1000,"&lt;="&amp;A420),"")</f>
        <v/>
      </c>
    </row>
    <row r="421">
      <c r="A421" s="29" t="n"/>
      <c r="B421" s="30" t="n"/>
      <c r="C421" s="30" t="n"/>
      <c r="D421" s="31" t="n"/>
      <c r="E421" s="30" t="n"/>
      <c r="F421" s="32">
        <f>IF(AND(ISNUMBER(D421),ISNUMBER(E421)),D421*E421,"")</f>
        <v/>
      </c>
      <c r="G421" s="31" t="n"/>
      <c r="H421" s="32">
        <f>IF(C421="SELL",F421-SUMIFS($F$2:$F$1000,$B$2:$B$1000,B421,$C$2:$C$1000,"&lt;&gt;SELL",$A$2:$A$1000,"&gt;"&amp;_xlfn.MAXIFS($A$2:$A$1000,$B$2:$B$1000,B421,$C$2:$C$1000,"SELL",$A$2:$A$1000,"&lt;"&amp;A421),$A$2:$A$1000,"&lt;="&amp;A421),"")</f>
        <v/>
      </c>
    </row>
    <row r="422">
      <c r="A422" s="29" t="n"/>
      <c r="B422" s="30" t="n"/>
      <c r="C422" s="30" t="n"/>
      <c r="D422" s="31" t="n"/>
      <c r="E422" s="30" t="n"/>
      <c r="F422" s="32">
        <f>IF(AND(ISNUMBER(D422),ISNUMBER(E422)),D422*E422,"")</f>
        <v/>
      </c>
      <c r="G422" s="31" t="n"/>
      <c r="H422" s="32">
        <f>IF(C422="SELL",F422-SUMIFS($F$2:$F$1000,$B$2:$B$1000,B422,$C$2:$C$1000,"&lt;&gt;SELL",$A$2:$A$1000,"&gt;"&amp;_xlfn.MAXIFS($A$2:$A$1000,$B$2:$B$1000,B422,$C$2:$C$1000,"SELL",$A$2:$A$1000,"&lt;"&amp;A422),$A$2:$A$1000,"&lt;="&amp;A422),"")</f>
        <v/>
      </c>
    </row>
    <row r="423">
      <c r="A423" s="29" t="n"/>
      <c r="B423" s="30" t="n"/>
      <c r="C423" s="30" t="n"/>
      <c r="D423" s="31" t="n"/>
      <c r="E423" s="30" t="n"/>
      <c r="F423" s="32">
        <f>IF(AND(ISNUMBER(D423),ISNUMBER(E423)),D423*E423,"")</f>
        <v/>
      </c>
      <c r="G423" s="31" t="n"/>
      <c r="H423" s="32">
        <f>IF(C423="SELL",F423-SUMIFS($F$2:$F$1000,$B$2:$B$1000,B423,$C$2:$C$1000,"&lt;&gt;SELL",$A$2:$A$1000,"&gt;"&amp;_xlfn.MAXIFS($A$2:$A$1000,$B$2:$B$1000,B423,$C$2:$C$1000,"SELL",$A$2:$A$1000,"&lt;"&amp;A423),$A$2:$A$1000,"&lt;="&amp;A423),"")</f>
        <v/>
      </c>
    </row>
    <row r="424">
      <c r="A424" s="29" t="n"/>
      <c r="B424" s="30" t="n"/>
      <c r="C424" s="30" t="n"/>
      <c r="D424" s="31" t="n"/>
      <c r="E424" s="30" t="n"/>
      <c r="F424" s="32">
        <f>IF(AND(ISNUMBER(D424),ISNUMBER(E424)),D424*E424,"")</f>
        <v/>
      </c>
      <c r="G424" s="31" t="n"/>
      <c r="H424" s="32">
        <f>IF(C424="SELL",F424-SUMIFS($F$2:$F$1000,$B$2:$B$1000,B424,$C$2:$C$1000,"&lt;&gt;SELL",$A$2:$A$1000,"&gt;"&amp;_xlfn.MAXIFS($A$2:$A$1000,$B$2:$B$1000,B424,$C$2:$C$1000,"SELL",$A$2:$A$1000,"&lt;"&amp;A424),$A$2:$A$1000,"&lt;="&amp;A424),"")</f>
        <v/>
      </c>
    </row>
    <row r="425">
      <c r="A425" s="29" t="n"/>
      <c r="B425" s="30" t="n"/>
      <c r="C425" s="30" t="n"/>
      <c r="D425" s="31" t="n"/>
      <c r="E425" s="30" t="n"/>
      <c r="F425" s="32">
        <f>IF(AND(ISNUMBER(D425),ISNUMBER(E425)),D425*E425,"")</f>
        <v/>
      </c>
      <c r="G425" s="31" t="n"/>
      <c r="H425" s="32">
        <f>IF(C425="SELL",F425-SUMIFS($F$2:$F$1000,$B$2:$B$1000,B425,$C$2:$C$1000,"&lt;&gt;SELL",$A$2:$A$1000,"&gt;"&amp;_xlfn.MAXIFS($A$2:$A$1000,$B$2:$B$1000,B425,$C$2:$C$1000,"SELL",$A$2:$A$1000,"&lt;"&amp;A425),$A$2:$A$1000,"&lt;="&amp;A425),"")</f>
        <v/>
      </c>
    </row>
    <row r="426">
      <c r="A426" s="29" t="n"/>
      <c r="B426" s="30" t="n"/>
      <c r="C426" s="30" t="n"/>
      <c r="D426" s="31" t="n"/>
      <c r="E426" s="30" t="n"/>
      <c r="F426" s="32">
        <f>IF(AND(ISNUMBER(D426),ISNUMBER(E426)),D426*E426,"")</f>
        <v/>
      </c>
      <c r="G426" s="31" t="n"/>
      <c r="H426" s="32">
        <f>IF(C426="SELL",F426-SUMIFS($F$2:$F$1000,$B$2:$B$1000,B426,$C$2:$C$1000,"&lt;&gt;SELL",$A$2:$A$1000,"&gt;"&amp;_xlfn.MAXIFS($A$2:$A$1000,$B$2:$B$1000,B426,$C$2:$C$1000,"SELL",$A$2:$A$1000,"&lt;"&amp;A426),$A$2:$A$1000,"&lt;="&amp;A426),"")</f>
        <v/>
      </c>
    </row>
    <row r="427">
      <c r="A427" s="29" t="n"/>
      <c r="B427" s="30" t="n"/>
      <c r="C427" s="30" t="n"/>
      <c r="D427" s="31" t="n"/>
      <c r="E427" s="30" t="n"/>
      <c r="F427" s="32">
        <f>IF(AND(ISNUMBER(D427),ISNUMBER(E427)),D427*E427,"")</f>
        <v/>
      </c>
      <c r="G427" s="31" t="n"/>
      <c r="H427" s="32">
        <f>IF(C427="SELL",F427-SUMIFS($F$2:$F$1000,$B$2:$B$1000,B427,$C$2:$C$1000,"&lt;&gt;SELL",$A$2:$A$1000,"&gt;"&amp;_xlfn.MAXIFS($A$2:$A$1000,$B$2:$B$1000,B427,$C$2:$C$1000,"SELL",$A$2:$A$1000,"&lt;"&amp;A427),$A$2:$A$1000,"&lt;="&amp;A427),"")</f>
        <v/>
      </c>
    </row>
    <row r="428">
      <c r="A428" s="29" t="n"/>
      <c r="B428" s="30" t="n"/>
      <c r="C428" s="30" t="n"/>
      <c r="D428" s="31" t="n"/>
      <c r="E428" s="30" t="n"/>
      <c r="F428" s="32">
        <f>IF(AND(ISNUMBER(D428),ISNUMBER(E428)),D428*E428,"")</f>
        <v/>
      </c>
      <c r="G428" s="31" t="n"/>
      <c r="H428" s="32">
        <f>IF(C428="SELL",F428-SUMIFS($F$2:$F$1000,$B$2:$B$1000,B428,$C$2:$C$1000,"&lt;&gt;SELL",$A$2:$A$1000,"&gt;"&amp;_xlfn.MAXIFS($A$2:$A$1000,$B$2:$B$1000,B428,$C$2:$C$1000,"SELL",$A$2:$A$1000,"&lt;"&amp;A428),$A$2:$A$1000,"&lt;="&amp;A428),"")</f>
        <v/>
      </c>
    </row>
    <row r="429">
      <c r="A429" s="29" t="n"/>
      <c r="B429" s="30" t="n"/>
      <c r="C429" s="30" t="n"/>
      <c r="D429" s="31" t="n"/>
      <c r="E429" s="30" t="n"/>
      <c r="F429" s="32">
        <f>IF(AND(ISNUMBER(D429),ISNUMBER(E429)),D429*E429,"")</f>
        <v/>
      </c>
      <c r="G429" s="31" t="n"/>
      <c r="H429" s="32">
        <f>IF(C429="SELL",F429-SUMIFS($F$2:$F$1000,$B$2:$B$1000,B429,$C$2:$C$1000,"&lt;&gt;SELL",$A$2:$A$1000,"&gt;"&amp;_xlfn.MAXIFS($A$2:$A$1000,$B$2:$B$1000,B429,$C$2:$C$1000,"SELL",$A$2:$A$1000,"&lt;"&amp;A429),$A$2:$A$1000,"&lt;="&amp;A429),"")</f>
        <v/>
      </c>
    </row>
    <row r="430">
      <c r="A430" s="29" t="n"/>
      <c r="B430" s="30" t="n"/>
      <c r="C430" s="30" t="n"/>
      <c r="D430" s="31" t="n"/>
      <c r="E430" s="30" t="n"/>
      <c r="F430" s="32">
        <f>IF(AND(ISNUMBER(D430),ISNUMBER(E430)),D430*E430,"")</f>
        <v/>
      </c>
      <c r="G430" s="31" t="n"/>
      <c r="H430" s="32">
        <f>IF(C430="SELL",F430-SUMIFS($F$2:$F$1000,$B$2:$B$1000,B430,$C$2:$C$1000,"&lt;&gt;SELL",$A$2:$A$1000,"&gt;"&amp;_xlfn.MAXIFS($A$2:$A$1000,$B$2:$B$1000,B430,$C$2:$C$1000,"SELL",$A$2:$A$1000,"&lt;"&amp;A430),$A$2:$A$1000,"&lt;="&amp;A430),"")</f>
        <v/>
      </c>
    </row>
    <row r="431">
      <c r="A431" s="29" t="n"/>
      <c r="B431" s="30" t="n"/>
      <c r="C431" s="30" t="n"/>
      <c r="D431" s="31" t="n"/>
      <c r="E431" s="30" t="n"/>
      <c r="F431" s="32">
        <f>IF(AND(ISNUMBER(D431),ISNUMBER(E431)),D431*E431,"")</f>
        <v/>
      </c>
      <c r="G431" s="31" t="n"/>
      <c r="H431" s="32">
        <f>IF(C431="SELL",F431-SUMIFS($F$2:$F$1000,$B$2:$B$1000,B431,$C$2:$C$1000,"&lt;&gt;SELL",$A$2:$A$1000,"&gt;"&amp;_xlfn.MAXIFS($A$2:$A$1000,$B$2:$B$1000,B431,$C$2:$C$1000,"SELL",$A$2:$A$1000,"&lt;"&amp;A431),$A$2:$A$1000,"&lt;="&amp;A431),"")</f>
        <v/>
      </c>
    </row>
    <row r="432">
      <c r="A432" s="29" t="n"/>
      <c r="B432" s="30" t="n"/>
      <c r="C432" s="30" t="n"/>
      <c r="D432" s="31" t="n"/>
      <c r="E432" s="30" t="n"/>
      <c r="F432" s="32">
        <f>IF(AND(ISNUMBER(D432),ISNUMBER(E432)),D432*E432,"")</f>
        <v/>
      </c>
      <c r="G432" s="31" t="n"/>
      <c r="H432" s="32">
        <f>IF(C432="SELL",F432-SUMIFS($F$2:$F$1000,$B$2:$B$1000,B432,$C$2:$C$1000,"&lt;&gt;SELL",$A$2:$A$1000,"&gt;"&amp;_xlfn.MAXIFS($A$2:$A$1000,$B$2:$B$1000,B432,$C$2:$C$1000,"SELL",$A$2:$A$1000,"&lt;"&amp;A432),$A$2:$A$1000,"&lt;="&amp;A432),"")</f>
        <v/>
      </c>
    </row>
    <row r="433">
      <c r="A433" s="29" t="n"/>
      <c r="B433" s="30" t="n"/>
      <c r="C433" s="30" t="n"/>
      <c r="D433" s="31" t="n"/>
      <c r="E433" s="30" t="n"/>
      <c r="F433" s="32">
        <f>IF(AND(ISNUMBER(D433),ISNUMBER(E433)),D433*E433,"")</f>
        <v/>
      </c>
      <c r="G433" s="31" t="n"/>
      <c r="H433" s="32">
        <f>IF(C433="SELL",F433-SUMIFS($F$2:$F$1000,$B$2:$B$1000,B433,$C$2:$C$1000,"&lt;&gt;SELL",$A$2:$A$1000,"&gt;"&amp;_xlfn.MAXIFS($A$2:$A$1000,$B$2:$B$1000,B433,$C$2:$C$1000,"SELL",$A$2:$A$1000,"&lt;"&amp;A433),$A$2:$A$1000,"&lt;="&amp;A433),"")</f>
        <v/>
      </c>
    </row>
    <row r="434">
      <c r="A434" s="29" t="n"/>
      <c r="B434" s="30" t="n"/>
      <c r="C434" s="30" t="n"/>
      <c r="D434" s="31" t="n"/>
      <c r="E434" s="30" t="n"/>
      <c r="F434" s="32">
        <f>IF(AND(ISNUMBER(D434),ISNUMBER(E434)),D434*E434,"")</f>
        <v/>
      </c>
      <c r="G434" s="31" t="n"/>
      <c r="H434" s="32">
        <f>IF(C434="SELL",F434-SUMIFS($F$2:$F$1000,$B$2:$B$1000,B434,$C$2:$C$1000,"&lt;&gt;SELL",$A$2:$A$1000,"&gt;"&amp;_xlfn.MAXIFS($A$2:$A$1000,$B$2:$B$1000,B434,$C$2:$C$1000,"SELL",$A$2:$A$1000,"&lt;"&amp;A434),$A$2:$A$1000,"&lt;="&amp;A434),"")</f>
        <v/>
      </c>
    </row>
    <row r="435">
      <c r="A435" s="29" t="n"/>
      <c r="B435" s="30" t="n"/>
      <c r="C435" s="30" t="n"/>
      <c r="D435" s="31" t="n"/>
      <c r="E435" s="30" t="n"/>
      <c r="F435" s="32">
        <f>IF(AND(ISNUMBER(D435),ISNUMBER(E435)),D435*E435,"")</f>
        <v/>
      </c>
      <c r="G435" s="31" t="n"/>
      <c r="H435" s="32">
        <f>IF(C435="SELL",F435-SUMIFS($F$2:$F$1000,$B$2:$B$1000,B435,$C$2:$C$1000,"&lt;&gt;SELL",$A$2:$A$1000,"&gt;"&amp;_xlfn.MAXIFS($A$2:$A$1000,$B$2:$B$1000,B435,$C$2:$C$1000,"SELL",$A$2:$A$1000,"&lt;"&amp;A435),$A$2:$A$1000,"&lt;="&amp;A435),"")</f>
        <v/>
      </c>
    </row>
    <row r="436">
      <c r="A436" s="29" t="n"/>
      <c r="B436" s="30" t="n"/>
      <c r="C436" s="30" t="n"/>
      <c r="D436" s="31" t="n"/>
      <c r="E436" s="30" t="n"/>
      <c r="F436" s="32">
        <f>IF(AND(ISNUMBER(D436),ISNUMBER(E436)),D436*E436,"")</f>
        <v/>
      </c>
      <c r="G436" s="31" t="n"/>
      <c r="H436" s="32">
        <f>IF(C436="SELL",F436-SUMIFS($F$2:$F$1000,$B$2:$B$1000,B436,$C$2:$C$1000,"&lt;&gt;SELL",$A$2:$A$1000,"&gt;"&amp;_xlfn.MAXIFS($A$2:$A$1000,$B$2:$B$1000,B436,$C$2:$C$1000,"SELL",$A$2:$A$1000,"&lt;"&amp;A436),$A$2:$A$1000,"&lt;="&amp;A436),"")</f>
        <v/>
      </c>
    </row>
    <row r="437">
      <c r="A437" s="29" t="n"/>
      <c r="B437" s="30" t="n"/>
      <c r="C437" s="30" t="n"/>
      <c r="D437" s="31" t="n"/>
      <c r="E437" s="30" t="n"/>
      <c r="F437" s="32">
        <f>IF(AND(ISNUMBER(D437),ISNUMBER(E437)),D437*E437,"")</f>
        <v/>
      </c>
      <c r="G437" s="31" t="n"/>
      <c r="H437" s="32">
        <f>IF(C437="SELL",F437-SUMIFS($F$2:$F$1000,$B$2:$B$1000,B437,$C$2:$C$1000,"&lt;&gt;SELL",$A$2:$A$1000,"&gt;"&amp;_xlfn.MAXIFS($A$2:$A$1000,$B$2:$B$1000,B437,$C$2:$C$1000,"SELL",$A$2:$A$1000,"&lt;"&amp;A437),$A$2:$A$1000,"&lt;="&amp;A437),"")</f>
        <v/>
      </c>
    </row>
    <row r="438">
      <c r="A438" s="29" t="n"/>
      <c r="B438" s="30" t="n"/>
      <c r="C438" s="30" t="n"/>
      <c r="D438" s="31" t="n"/>
      <c r="E438" s="30" t="n"/>
      <c r="F438" s="32">
        <f>IF(AND(ISNUMBER(D438),ISNUMBER(E438)),D438*E438,"")</f>
        <v/>
      </c>
      <c r="G438" s="31" t="n"/>
      <c r="H438" s="32">
        <f>IF(C438="SELL",F438-SUMIFS($F$2:$F$1000,$B$2:$B$1000,B438,$C$2:$C$1000,"&lt;&gt;SELL",$A$2:$A$1000,"&gt;"&amp;_xlfn.MAXIFS($A$2:$A$1000,$B$2:$B$1000,B438,$C$2:$C$1000,"SELL",$A$2:$A$1000,"&lt;"&amp;A438),$A$2:$A$1000,"&lt;="&amp;A438),"")</f>
        <v/>
      </c>
    </row>
    <row r="439">
      <c r="A439" s="29" t="n"/>
      <c r="B439" s="30" t="n"/>
      <c r="C439" s="30" t="n"/>
      <c r="D439" s="31" t="n"/>
      <c r="E439" s="30" t="n"/>
      <c r="F439" s="32">
        <f>IF(AND(ISNUMBER(D439),ISNUMBER(E439)),D439*E439,"")</f>
        <v/>
      </c>
      <c r="G439" s="31" t="n"/>
      <c r="H439" s="32">
        <f>IF(C439="SELL",F439-SUMIFS($F$2:$F$1000,$B$2:$B$1000,B439,$C$2:$C$1000,"&lt;&gt;SELL",$A$2:$A$1000,"&gt;"&amp;_xlfn.MAXIFS($A$2:$A$1000,$B$2:$B$1000,B439,$C$2:$C$1000,"SELL",$A$2:$A$1000,"&lt;"&amp;A439),$A$2:$A$1000,"&lt;="&amp;A439),"")</f>
        <v/>
      </c>
    </row>
    <row r="440">
      <c r="A440" s="29" t="n"/>
      <c r="B440" s="30" t="n"/>
      <c r="C440" s="30" t="n"/>
      <c r="D440" s="31" t="n"/>
      <c r="E440" s="30" t="n"/>
      <c r="F440" s="32">
        <f>IF(AND(ISNUMBER(D440),ISNUMBER(E440)),D440*E440,"")</f>
        <v/>
      </c>
      <c r="G440" s="31" t="n"/>
      <c r="H440" s="32">
        <f>IF(C440="SELL",F440-SUMIFS($F$2:$F$1000,$B$2:$B$1000,B440,$C$2:$C$1000,"&lt;&gt;SELL",$A$2:$A$1000,"&gt;"&amp;_xlfn.MAXIFS($A$2:$A$1000,$B$2:$B$1000,B440,$C$2:$C$1000,"SELL",$A$2:$A$1000,"&lt;"&amp;A440),$A$2:$A$1000,"&lt;="&amp;A440),"")</f>
        <v/>
      </c>
    </row>
    <row r="441">
      <c r="A441" s="29" t="n"/>
      <c r="B441" s="30" t="n"/>
      <c r="C441" s="30" t="n"/>
      <c r="D441" s="31" t="n"/>
      <c r="E441" s="30" t="n"/>
      <c r="F441" s="32">
        <f>IF(AND(ISNUMBER(D441),ISNUMBER(E441)),D441*E441,"")</f>
        <v/>
      </c>
      <c r="G441" s="31" t="n"/>
      <c r="H441" s="32">
        <f>IF(C441="SELL",F441-SUMIFS($F$2:$F$1000,$B$2:$B$1000,B441,$C$2:$C$1000,"&lt;&gt;SELL",$A$2:$A$1000,"&gt;"&amp;_xlfn.MAXIFS($A$2:$A$1000,$B$2:$B$1000,B441,$C$2:$C$1000,"SELL",$A$2:$A$1000,"&lt;"&amp;A441),$A$2:$A$1000,"&lt;="&amp;A441),"")</f>
        <v/>
      </c>
    </row>
    <row r="442">
      <c r="A442" s="29" t="n"/>
      <c r="B442" s="30" t="n"/>
      <c r="C442" s="30" t="n"/>
      <c r="D442" s="31" t="n"/>
      <c r="E442" s="30" t="n"/>
      <c r="F442" s="32">
        <f>IF(AND(ISNUMBER(D442),ISNUMBER(E442)),D442*E442,"")</f>
        <v/>
      </c>
      <c r="G442" s="31" t="n"/>
      <c r="H442" s="32">
        <f>IF(C442="SELL",F442-SUMIFS($F$2:$F$1000,$B$2:$B$1000,B442,$C$2:$C$1000,"&lt;&gt;SELL",$A$2:$A$1000,"&gt;"&amp;_xlfn.MAXIFS($A$2:$A$1000,$B$2:$B$1000,B442,$C$2:$C$1000,"SELL",$A$2:$A$1000,"&lt;"&amp;A442),$A$2:$A$1000,"&lt;="&amp;A442),"")</f>
        <v/>
      </c>
    </row>
    <row r="443">
      <c r="A443" s="29" t="n"/>
      <c r="B443" s="30" t="n"/>
      <c r="C443" s="30" t="n"/>
      <c r="D443" s="31" t="n"/>
      <c r="E443" s="30" t="n"/>
      <c r="F443" s="32">
        <f>IF(AND(ISNUMBER(D443),ISNUMBER(E443)),D443*E443,"")</f>
        <v/>
      </c>
      <c r="G443" s="31" t="n"/>
      <c r="H443" s="32">
        <f>IF(C443="SELL",F443-SUMIFS($F$2:$F$1000,$B$2:$B$1000,B443,$C$2:$C$1000,"&lt;&gt;SELL",$A$2:$A$1000,"&gt;"&amp;_xlfn.MAXIFS($A$2:$A$1000,$B$2:$B$1000,B443,$C$2:$C$1000,"SELL",$A$2:$A$1000,"&lt;"&amp;A443),$A$2:$A$1000,"&lt;="&amp;A443),"")</f>
        <v/>
      </c>
    </row>
    <row r="444">
      <c r="A444" s="29" t="n"/>
      <c r="B444" s="30" t="n"/>
      <c r="C444" s="30" t="n"/>
      <c r="D444" s="31" t="n"/>
      <c r="E444" s="30" t="n"/>
      <c r="F444" s="32">
        <f>IF(AND(ISNUMBER(D444),ISNUMBER(E444)),D444*E444,"")</f>
        <v/>
      </c>
      <c r="G444" s="31" t="n"/>
      <c r="H444" s="32">
        <f>IF(C444="SELL",F444-SUMIFS($F$2:$F$1000,$B$2:$B$1000,B444,$C$2:$C$1000,"&lt;&gt;SELL",$A$2:$A$1000,"&gt;"&amp;_xlfn.MAXIFS($A$2:$A$1000,$B$2:$B$1000,B444,$C$2:$C$1000,"SELL",$A$2:$A$1000,"&lt;"&amp;A444),$A$2:$A$1000,"&lt;="&amp;A444),"")</f>
        <v/>
      </c>
    </row>
    <row r="445">
      <c r="A445" s="29" t="n"/>
      <c r="B445" s="30" t="n"/>
      <c r="C445" s="30" t="n"/>
      <c r="D445" s="31" t="n"/>
      <c r="E445" s="30" t="n"/>
      <c r="F445" s="32">
        <f>IF(AND(ISNUMBER(D445),ISNUMBER(E445)),D445*E445,"")</f>
        <v/>
      </c>
      <c r="G445" s="31" t="n"/>
      <c r="H445" s="32">
        <f>IF(C445="SELL",F445-SUMIFS($F$2:$F$1000,$B$2:$B$1000,B445,$C$2:$C$1000,"&lt;&gt;SELL",$A$2:$A$1000,"&gt;"&amp;_xlfn.MAXIFS($A$2:$A$1000,$B$2:$B$1000,B445,$C$2:$C$1000,"SELL",$A$2:$A$1000,"&lt;"&amp;A445),$A$2:$A$1000,"&lt;="&amp;A445),"")</f>
        <v/>
      </c>
    </row>
    <row r="446">
      <c r="A446" s="29" t="n"/>
      <c r="B446" s="30" t="n"/>
      <c r="C446" s="30" t="n"/>
      <c r="D446" s="31" t="n"/>
      <c r="E446" s="30" t="n"/>
      <c r="F446" s="32">
        <f>IF(AND(ISNUMBER(D446),ISNUMBER(E446)),D446*E446,"")</f>
        <v/>
      </c>
      <c r="G446" s="31" t="n"/>
      <c r="H446" s="32">
        <f>IF(C446="SELL",F446-SUMIFS($F$2:$F$1000,$B$2:$B$1000,B446,$C$2:$C$1000,"&lt;&gt;SELL",$A$2:$A$1000,"&gt;"&amp;_xlfn.MAXIFS($A$2:$A$1000,$B$2:$B$1000,B446,$C$2:$C$1000,"SELL",$A$2:$A$1000,"&lt;"&amp;A446),$A$2:$A$1000,"&lt;="&amp;A446),"")</f>
        <v/>
      </c>
    </row>
    <row r="447">
      <c r="A447" s="29" t="n"/>
      <c r="B447" s="30" t="n"/>
      <c r="C447" s="30" t="n"/>
      <c r="D447" s="31" t="n"/>
      <c r="E447" s="30" t="n"/>
      <c r="F447" s="32">
        <f>IF(AND(ISNUMBER(D447),ISNUMBER(E447)),D447*E447,"")</f>
        <v/>
      </c>
      <c r="G447" s="31" t="n"/>
      <c r="H447" s="32">
        <f>IF(C447="SELL",F447-SUMIFS($F$2:$F$1000,$B$2:$B$1000,B447,$C$2:$C$1000,"&lt;&gt;SELL",$A$2:$A$1000,"&gt;"&amp;_xlfn.MAXIFS($A$2:$A$1000,$B$2:$B$1000,B447,$C$2:$C$1000,"SELL",$A$2:$A$1000,"&lt;"&amp;A447),$A$2:$A$1000,"&lt;="&amp;A447),"")</f>
        <v/>
      </c>
    </row>
    <row r="448">
      <c r="A448" s="29" t="n"/>
      <c r="B448" s="30" t="n"/>
      <c r="C448" s="30" t="n"/>
      <c r="D448" s="31" t="n"/>
      <c r="E448" s="30" t="n"/>
      <c r="F448" s="32">
        <f>IF(AND(ISNUMBER(D448),ISNUMBER(E448)),D448*E448,"")</f>
        <v/>
      </c>
      <c r="G448" s="31" t="n"/>
      <c r="H448" s="32">
        <f>IF(C448="SELL",F448-SUMIFS($F$2:$F$1000,$B$2:$B$1000,B448,$C$2:$C$1000,"&lt;&gt;SELL",$A$2:$A$1000,"&gt;"&amp;_xlfn.MAXIFS($A$2:$A$1000,$B$2:$B$1000,B448,$C$2:$C$1000,"SELL",$A$2:$A$1000,"&lt;"&amp;A448),$A$2:$A$1000,"&lt;="&amp;A448),"")</f>
        <v/>
      </c>
    </row>
    <row r="449">
      <c r="A449" s="29" t="n"/>
      <c r="B449" s="30" t="n"/>
      <c r="C449" s="30" t="n"/>
      <c r="D449" s="31" t="n"/>
      <c r="E449" s="30" t="n"/>
      <c r="F449" s="32">
        <f>IF(AND(ISNUMBER(D449),ISNUMBER(E449)),D449*E449,"")</f>
        <v/>
      </c>
      <c r="G449" s="31" t="n"/>
      <c r="H449" s="32">
        <f>IF(C449="SELL",F449-SUMIFS($F$2:$F$1000,$B$2:$B$1000,B449,$C$2:$C$1000,"&lt;&gt;SELL",$A$2:$A$1000,"&gt;"&amp;_xlfn.MAXIFS($A$2:$A$1000,$B$2:$B$1000,B449,$C$2:$C$1000,"SELL",$A$2:$A$1000,"&lt;"&amp;A449),$A$2:$A$1000,"&lt;="&amp;A449),"")</f>
        <v/>
      </c>
    </row>
    <row r="450">
      <c r="A450" s="29" t="n"/>
      <c r="B450" s="30" t="n"/>
      <c r="C450" s="30" t="n"/>
      <c r="D450" s="31" t="n"/>
      <c r="E450" s="30" t="n"/>
      <c r="F450" s="32">
        <f>IF(AND(ISNUMBER(D450),ISNUMBER(E450)),D450*E450,"")</f>
        <v/>
      </c>
      <c r="G450" s="31" t="n"/>
      <c r="H450" s="32">
        <f>IF(C450="SELL",F450-SUMIFS($F$2:$F$1000,$B$2:$B$1000,B450,$C$2:$C$1000,"&lt;&gt;SELL",$A$2:$A$1000,"&gt;"&amp;_xlfn.MAXIFS($A$2:$A$1000,$B$2:$B$1000,B450,$C$2:$C$1000,"SELL",$A$2:$A$1000,"&lt;"&amp;A450),$A$2:$A$1000,"&lt;="&amp;A450),"")</f>
        <v/>
      </c>
    </row>
    <row r="451">
      <c r="A451" s="29" t="n"/>
      <c r="B451" s="30" t="n"/>
      <c r="C451" s="30" t="n"/>
      <c r="D451" s="31" t="n"/>
      <c r="E451" s="30" t="n"/>
      <c r="F451" s="32">
        <f>IF(AND(ISNUMBER(D451),ISNUMBER(E451)),D451*E451,"")</f>
        <v/>
      </c>
      <c r="G451" s="31" t="n"/>
      <c r="H451" s="32">
        <f>IF(C451="SELL",F451-SUMIFS($F$2:$F$1000,$B$2:$B$1000,B451,$C$2:$C$1000,"&lt;&gt;SELL",$A$2:$A$1000,"&gt;"&amp;_xlfn.MAXIFS($A$2:$A$1000,$B$2:$B$1000,B451,$C$2:$C$1000,"SELL",$A$2:$A$1000,"&lt;"&amp;A451),$A$2:$A$1000,"&lt;="&amp;A451),"")</f>
        <v/>
      </c>
    </row>
    <row r="452">
      <c r="A452" s="29" t="n"/>
      <c r="B452" s="30" t="n"/>
      <c r="C452" s="30" t="n"/>
      <c r="D452" s="31" t="n"/>
      <c r="E452" s="30" t="n"/>
      <c r="F452" s="32">
        <f>IF(AND(ISNUMBER(D452),ISNUMBER(E452)),D452*E452,"")</f>
        <v/>
      </c>
      <c r="G452" s="31" t="n"/>
      <c r="H452" s="32">
        <f>IF(C452="SELL",F452-SUMIFS($F$2:$F$1000,$B$2:$B$1000,B452,$C$2:$C$1000,"&lt;&gt;SELL",$A$2:$A$1000,"&gt;"&amp;_xlfn.MAXIFS($A$2:$A$1000,$B$2:$B$1000,B452,$C$2:$C$1000,"SELL",$A$2:$A$1000,"&lt;"&amp;A452),$A$2:$A$1000,"&lt;="&amp;A452),"")</f>
        <v/>
      </c>
    </row>
    <row r="453">
      <c r="A453" s="29" t="n"/>
      <c r="B453" s="30" t="n"/>
      <c r="C453" s="30" t="n"/>
      <c r="D453" s="31" t="n"/>
      <c r="E453" s="30" t="n"/>
      <c r="F453" s="32">
        <f>IF(AND(ISNUMBER(D453),ISNUMBER(E453)),D453*E453,"")</f>
        <v/>
      </c>
      <c r="G453" s="31" t="n"/>
      <c r="H453" s="32">
        <f>IF(C453="SELL",F453-SUMIFS($F$2:$F$1000,$B$2:$B$1000,B453,$C$2:$C$1000,"&lt;&gt;SELL",$A$2:$A$1000,"&gt;"&amp;_xlfn.MAXIFS($A$2:$A$1000,$B$2:$B$1000,B453,$C$2:$C$1000,"SELL",$A$2:$A$1000,"&lt;"&amp;A453),$A$2:$A$1000,"&lt;="&amp;A453),"")</f>
        <v/>
      </c>
    </row>
    <row r="454">
      <c r="A454" s="29" t="n"/>
      <c r="B454" s="30" t="n"/>
      <c r="C454" s="30" t="n"/>
      <c r="D454" s="31" t="n"/>
      <c r="E454" s="30" t="n"/>
      <c r="F454" s="32">
        <f>IF(AND(ISNUMBER(D454),ISNUMBER(E454)),D454*E454,"")</f>
        <v/>
      </c>
      <c r="G454" s="31" t="n"/>
      <c r="H454" s="32">
        <f>IF(C454="SELL",F454-SUMIFS($F$2:$F$1000,$B$2:$B$1000,B454,$C$2:$C$1000,"&lt;&gt;SELL",$A$2:$A$1000,"&gt;"&amp;_xlfn.MAXIFS($A$2:$A$1000,$B$2:$B$1000,B454,$C$2:$C$1000,"SELL",$A$2:$A$1000,"&lt;"&amp;A454),$A$2:$A$1000,"&lt;="&amp;A454),"")</f>
        <v/>
      </c>
    </row>
    <row r="455">
      <c r="A455" s="29" t="n"/>
      <c r="B455" s="30" t="n"/>
      <c r="C455" s="30" t="n"/>
      <c r="D455" s="31" t="n"/>
      <c r="E455" s="30" t="n"/>
      <c r="F455" s="32">
        <f>IF(AND(ISNUMBER(D455),ISNUMBER(E455)),D455*E455,"")</f>
        <v/>
      </c>
      <c r="G455" s="31" t="n"/>
      <c r="H455" s="32">
        <f>IF(C455="SELL",F455-SUMIFS($F$2:$F$1000,$B$2:$B$1000,B455,$C$2:$C$1000,"&lt;&gt;SELL",$A$2:$A$1000,"&gt;"&amp;_xlfn.MAXIFS($A$2:$A$1000,$B$2:$B$1000,B455,$C$2:$C$1000,"SELL",$A$2:$A$1000,"&lt;"&amp;A455),$A$2:$A$1000,"&lt;="&amp;A455),"")</f>
        <v/>
      </c>
    </row>
    <row r="456">
      <c r="A456" s="29" t="n"/>
      <c r="B456" s="30" t="n"/>
      <c r="C456" s="30" t="n"/>
      <c r="D456" s="31" t="n"/>
      <c r="E456" s="30" t="n"/>
      <c r="F456" s="32">
        <f>IF(AND(ISNUMBER(D456),ISNUMBER(E456)),D456*E456,"")</f>
        <v/>
      </c>
      <c r="G456" s="31" t="n"/>
      <c r="H456" s="32">
        <f>IF(C456="SELL",F456-SUMIFS($F$2:$F$1000,$B$2:$B$1000,B456,$C$2:$C$1000,"&lt;&gt;SELL",$A$2:$A$1000,"&gt;"&amp;_xlfn.MAXIFS($A$2:$A$1000,$B$2:$B$1000,B456,$C$2:$C$1000,"SELL",$A$2:$A$1000,"&lt;"&amp;A456),$A$2:$A$1000,"&lt;="&amp;A456),"")</f>
        <v/>
      </c>
    </row>
    <row r="457">
      <c r="A457" s="29" t="n"/>
      <c r="B457" s="30" t="n"/>
      <c r="C457" s="30" t="n"/>
      <c r="D457" s="31" t="n"/>
      <c r="E457" s="30" t="n"/>
      <c r="F457" s="32">
        <f>IF(AND(ISNUMBER(D457),ISNUMBER(E457)),D457*E457,"")</f>
        <v/>
      </c>
      <c r="G457" s="31" t="n"/>
      <c r="H457" s="32">
        <f>IF(C457="SELL",F457-SUMIFS($F$2:$F$1000,$B$2:$B$1000,B457,$C$2:$C$1000,"&lt;&gt;SELL",$A$2:$A$1000,"&gt;"&amp;_xlfn.MAXIFS($A$2:$A$1000,$B$2:$B$1000,B457,$C$2:$C$1000,"SELL",$A$2:$A$1000,"&lt;"&amp;A457),$A$2:$A$1000,"&lt;="&amp;A457),"")</f>
        <v/>
      </c>
    </row>
    <row r="458">
      <c r="A458" s="29" t="n"/>
      <c r="B458" s="30" t="n"/>
      <c r="C458" s="30" t="n"/>
      <c r="D458" s="31" t="n"/>
      <c r="E458" s="30" t="n"/>
      <c r="F458" s="32">
        <f>IF(AND(ISNUMBER(D458),ISNUMBER(E458)),D458*E458,"")</f>
        <v/>
      </c>
      <c r="G458" s="31" t="n"/>
      <c r="H458" s="32">
        <f>IF(C458="SELL",F458-SUMIFS($F$2:$F$1000,$B$2:$B$1000,B458,$C$2:$C$1000,"&lt;&gt;SELL",$A$2:$A$1000,"&gt;"&amp;_xlfn.MAXIFS($A$2:$A$1000,$B$2:$B$1000,B458,$C$2:$C$1000,"SELL",$A$2:$A$1000,"&lt;"&amp;A458),$A$2:$A$1000,"&lt;="&amp;A458),"")</f>
        <v/>
      </c>
    </row>
    <row r="459">
      <c r="A459" s="29" t="n"/>
      <c r="B459" s="30" t="n"/>
      <c r="C459" s="30" t="n"/>
      <c r="D459" s="31" t="n"/>
      <c r="E459" s="30" t="n"/>
      <c r="F459" s="32">
        <f>IF(AND(ISNUMBER(D459),ISNUMBER(E459)),D459*E459,"")</f>
        <v/>
      </c>
      <c r="G459" s="31" t="n"/>
      <c r="H459" s="32">
        <f>IF(C459="SELL",F459-SUMIFS($F$2:$F$1000,$B$2:$B$1000,B459,$C$2:$C$1000,"&lt;&gt;SELL",$A$2:$A$1000,"&gt;"&amp;_xlfn.MAXIFS($A$2:$A$1000,$B$2:$B$1000,B459,$C$2:$C$1000,"SELL",$A$2:$A$1000,"&lt;"&amp;A459),$A$2:$A$1000,"&lt;="&amp;A459),"")</f>
        <v/>
      </c>
    </row>
    <row r="460">
      <c r="A460" s="29" t="n"/>
      <c r="B460" s="30" t="n"/>
      <c r="C460" s="30" t="n"/>
      <c r="D460" s="31" t="n"/>
      <c r="E460" s="30" t="n"/>
      <c r="F460" s="32">
        <f>IF(AND(ISNUMBER(D460),ISNUMBER(E460)),D460*E460,"")</f>
        <v/>
      </c>
      <c r="G460" s="31" t="n"/>
      <c r="H460" s="32">
        <f>IF(C460="SELL",F460-SUMIFS($F$2:$F$1000,$B$2:$B$1000,B460,$C$2:$C$1000,"&lt;&gt;SELL",$A$2:$A$1000,"&gt;"&amp;_xlfn.MAXIFS($A$2:$A$1000,$B$2:$B$1000,B460,$C$2:$C$1000,"SELL",$A$2:$A$1000,"&lt;"&amp;A460),$A$2:$A$1000,"&lt;="&amp;A460),"")</f>
        <v/>
      </c>
    </row>
    <row r="461">
      <c r="A461" s="29" t="n"/>
      <c r="B461" s="30" t="n"/>
      <c r="C461" s="30" t="n"/>
      <c r="D461" s="31" t="n"/>
      <c r="E461" s="30" t="n"/>
      <c r="F461" s="32">
        <f>IF(AND(ISNUMBER(D461),ISNUMBER(E461)),D461*E461,"")</f>
        <v/>
      </c>
      <c r="G461" s="31" t="n"/>
      <c r="H461" s="32">
        <f>IF(C461="SELL",F461-SUMIFS($F$2:$F$1000,$B$2:$B$1000,B461,$C$2:$C$1000,"&lt;&gt;SELL",$A$2:$A$1000,"&gt;"&amp;_xlfn.MAXIFS($A$2:$A$1000,$B$2:$B$1000,B461,$C$2:$C$1000,"SELL",$A$2:$A$1000,"&lt;"&amp;A461),$A$2:$A$1000,"&lt;="&amp;A461),"")</f>
        <v/>
      </c>
    </row>
    <row r="462">
      <c r="A462" s="29" t="n"/>
      <c r="B462" s="30" t="n"/>
      <c r="C462" s="30" t="n"/>
      <c r="D462" s="31" t="n"/>
      <c r="E462" s="30" t="n"/>
      <c r="F462" s="32">
        <f>IF(AND(ISNUMBER(D462),ISNUMBER(E462)),D462*E462,"")</f>
        <v/>
      </c>
      <c r="G462" s="31" t="n"/>
      <c r="H462" s="32">
        <f>IF(C462="SELL",F462-SUMIFS($F$2:$F$1000,$B$2:$B$1000,B462,$C$2:$C$1000,"&lt;&gt;SELL",$A$2:$A$1000,"&gt;"&amp;_xlfn.MAXIFS($A$2:$A$1000,$B$2:$B$1000,B462,$C$2:$C$1000,"SELL",$A$2:$A$1000,"&lt;"&amp;A462),$A$2:$A$1000,"&lt;="&amp;A462),"")</f>
        <v/>
      </c>
    </row>
    <row r="463">
      <c r="A463" s="29" t="n"/>
      <c r="B463" s="30" t="n"/>
      <c r="C463" s="30" t="n"/>
      <c r="D463" s="31" t="n"/>
      <c r="E463" s="30" t="n"/>
      <c r="F463" s="32">
        <f>IF(AND(ISNUMBER(D463),ISNUMBER(E463)),D463*E463,"")</f>
        <v/>
      </c>
      <c r="G463" s="31" t="n"/>
      <c r="H463" s="32">
        <f>IF(C463="SELL",F463-SUMIFS($F$2:$F$1000,$B$2:$B$1000,B463,$C$2:$C$1000,"&lt;&gt;SELL",$A$2:$A$1000,"&gt;"&amp;_xlfn.MAXIFS($A$2:$A$1000,$B$2:$B$1000,B463,$C$2:$C$1000,"SELL",$A$2:$A$1000,"&lt;"&amp;A463),$A$2:$A$1000,"&lt;="&amp;A463),"")</f>
        <v/>
      </c>
    </row>
    <row r="464">
      <c r="A464" s="29" t="n"/>
      <c r="B464" s="30" t="n"/>
      <c r="C464" s="30" t="n"/>
      <c r="D464" s="31" t="n"/>
      <c r="E464" s="30" t="n"/>
      <c r="F464" s="32">
        <f>IF(AND(ISNUMBER(D464),ISNUMBER(E464)),D464*E464,"")</f>
        <v/>
      </c>
      <c r="G464" s="31" t="n"/>
      <c r="H464" s="32">
        <f>IF(C464="SELL",F464-SUMIFS($F$2:$F$1000,$B$2:$B$1000,B464,$C$2:$C$1000,"&lt;&gt;SELL",$A$2:$A$1000,"&gt;"&amp;_xlfn.MAXIFS($A$2:$A$1000,$B$2:$B$1000,B464,$C$2:$C$1000,"SELL",$A$2:$A$1000,"&lt;"&amp;A464),$A$2:$A$1000,"&lt;="&amp;A464),"")</f>
        <v/>
      </c>
    </row>
    <row r="465">
      <c r="A465" s="29" t="n"/>
      <c r="B465" s="30" t="n"/>
      <c r="C465" s="30" t="n"/>
      <c r="D465" s="31" t="n"/>
      <c r="E465" s="30" t="n"/>
      <c r="F465" s="32">
        <f>IF(AND(ISNUMBER(D465),ISNUMBER(E465)),D465*E465,"")</f>
        <v/>
      </c>
      <c r="G465" s="31" t="n"/>
      <c r="H465" s="32">
        <f>IF(C465="SELL",F465-SUMIFS($F$2:$F$1000,$B$2:$B$1000,B465,$C$2:$C$1000,"&lt;&gt;SELL",$A$2:$A$1000,"&gt;"&amp;_xlfn.MAXIFS($A$2:$A$1000,$B$2:$B$1000,B465,$C$2:$C$1000,"SELL",$A$2:$A$1000,"&lt;"&amp;A465),$A$2:$A$1000,"&lt;="&amp;A465),"")</f>
        <v/>
      </c>
    </row>
    <row r="466">
      <c r="A466" s="29" t="n"/>
      <c r="B466" s="30" t="n"/>
      <c r="C466" s="30" t="n"/>
      <c r="D466" s="31" t="n"/>
      <c r="E466" s="30" t="n"/>
      <c r="F466" s="32">
        <f>IF(AND(ISNUMBER(D466),ISNUMBER(E466)),D466*E466,"")</f>
        <v/>
      </c>
      <c r="G466" s="31" t="n"/>
      <c r="H466" s="32">
        <f>IF(C466="SELL",F466-SUMIFS($F$2:$F$1000,$B$2:$B$1000,B466,$C$2:$C$1000,"&lt;&gt;SELL",$A$2:$A$1000,"&gt;"&amp;_xlfn.MAXIFS($A$2:$A$1000,$B$2:$B$1000,B466,$C$2:$C$1000,"SELL",$A$2:$A$1000,"&lt;"&amp;A466),$A$2:$A$1000,"&lt;="&amp;A466),"")</f>
        <v/>
      </c>
    </row>
    <row r="467">
      <c r="A467" s="29" t="n"/>
      <c r="B467" s="30" t="n"/>
      <c r="C467" s="30" t="n"/>
      <c r="D467" s="31" t="n"/>
      <c r="E467" s="30" t="n"/>
      <c r="F467" s="32">
        <f>IF(AND(ISNUMBER(D467),ISNUMBER(E467)),D467*E467,"")</f>
        <v/>
      </c>
      <c r="G467" s="31" t="n"/>
      <c r="H467" s="32">
        <f>IF(C467="SELL",F467-SUMIFS($F$2:$F$1000,$B$2:$B$1000,B467,$C$2:$C$1000,"&lt;&gt;SELL",$A$2:$A$1000,"&gt;"&amp;_xlfn.MAXIFS($A$2:$A$1000,$B$2:$B$1000,B467,$C$2:$C$1000,"SELL",$A$2:$A$1000,"&lt;"&amp;A467),$A$2:$A$1000,"&lt;="&amp;A467),"")</f>
        <v/>
      </c>
    </row>
    <row r="468">
      <c r="A468" s="29" t="n"/>
      <c r="B468" s="30" t="n"/>
      <c r="C468" s="30" t="n"/>
      <c r="D468" s="31" t="n"/>
      <c r="E468" s="30" t="n"/>
      <c r="F468" s="32">
        <f>IF(AND(ISNUMBER(D468),ISNUMBER(E468)),D468*E468,"")</f>
        <v/>
      </c>
      <c r="G468" s="31" t="n"/>
      <c r="H468" s="32">
        <f>IF(C468="SELL",F468-SUMIFS($F$2:$F$1000,$B$2:$B$1000,B468,$C$2:$C$1000,"&lt;&gt;SELL",$A$2:$A$1000,"&gt;"&amp;_xlfn.MAXIFS($A$2:$A$1000,$B$2:$B$1000,B468,$C$2:$C$1000,"SELL",$A$2:$A$1000,"&lt;"&amp;A468),$A$2:$A$1000,"&lt;="&amp;A468),"")</f>
        <v/>
      </c>
    </row>
    <row r="469">
      <c r="A469" s="29" t="n"/>
      <c r="B469" s="30" t="n"/>
      <c r="C469" s="30" t="n"/>
      <c r="D469" s="31" t="n"/>
      <c r="E469" s="30" t="n"/>
      <c r="F469" s="32">
        <f>IF(AND(ISNUMBER(D469),ISNUMBER(E469)),D469*E469,"")</f>
        <v/>
      </c>
      <c r="G469" s="31" t="n"/>
      <c r="H469" s="32">
        <f>IF(C469="SELL",F469-SUMIFS($F$2:$F$1000,$B$2:$B$1000,B469,$C$2:$C$1000,"&lt;&gt;SELL",$A$2:$A$1000,"&gt;"&amp;_xlfn.MAXIFS($A$2:$A$1000,$B$2:$B$1000,B469,$C$2:$C$1000,"SELL",$A$2:$A$1000,"&lt;"&amp;A469),$A$2:$A$1000,"&lt;="&amp;A469),"")</f>
        <v/>
      </c>
    </row>
    <row r="470">
      <c r="A470" s="29" t="n"/>
      <c r="B470" s="30" t="n"/>
      <c r="C470" s="30" t="n"/>
      <c r="D470" s="31" t="n"/>
      <c r="E470" s="30" t="n"/>
      <c r="F470" s="32">
        <f>IF(AND(ISNUMBER(D470),ISNUMBER(E470)),D470*E470,"")</f>
        <v/>
      </c>
      <c r="G470" s="31" t="n"/>
      <c r="H470" s="32">
        <f>IF(C470="SELL",F470-SUMIFS($F$2:$F$1000,$B$2:$B$1000,B470,$C$2:$C$1000,"&lt;&gt;SELL",$A$2:$A$1000,"&gt;"&amp;_xlfn.MAXIFS($A$2:$A$1000,$B$2:$B$1000,B470,$C$2:$C$1000,"SELL",$A$2:$A$1000,"&lt;"&amp;A470),$A$2:$A$1000,"&lt;="&amp;A470),"")</f>
        <v/>
      </c>
    </row>
    <row r="471">
      <c r="A471" s="29" t="n"/>
      <c r="B471" s="30" t="n"/>
      <c r="C471" s="30" t="n"/>
      <c r="D471" s="31" t="n"/>
      <c r="E471" s="30" t="n"/>
      <c r="F471" s="32">
        <f>IF(AND(ISNUMBER(D471),ISNUMBER(E471)),D471*E471,"")</f>
        <v/>
      </c>
      <c r="G471" s="31" t="n"/>
      <c r="H471" s="32">
        <f>IF(C471="SELL",F471-SUMIFS($F$2:$F$1000,$B$2:$B$1000,B471,$C$2:$C$1000,"&lt;&gt;SELL",$A$2:$A$1000,"&gt;"&amp;_xlfn.MAXIFS($A$2:$A$1000,$B$2:$B$1000,B471,$C$2:$C$1000,"SELL",$A$2:$A$1000,"&lt;"&amp;A471),$A$2:$A$1000,"&lt;="&amp;A471),"")</f>
        <v/>
      </c>
    </row>
    <row r="472">
      <c r="A472" s="29" t="n"/>
      <c r="B472" s="30" t="n"/>
      <c r="C472" s="30" t="n"/>
      <c r="D472" s="31" t="n"/>
      <c r="E472" s="30" t="n"/>
      <c r="F472" s="32">
        <f>IF(AND(ISNUMBER(D472),ISNUMBER(E472)),D472*E472,"")</f>
        <v/>
      </c>
      <c r="G472" s="31" t="n"/>
      <c r="H472" s="32">
        <f>IF(C472="SELL",F472-SUMIFS($F$2:$F$1000,$B$2:$B$1000,B472,$C$2:$C$1000,"&lt;&gt;SELL",$A$2:$A$1000,"&gt;"&amp;_xlfn.MAXIFS($A$2:$A$1000,$B$2:$B$1000,B472,$C$2:$C$1000,"SELL",$A$2:$A$1000,"&lt;"&amp;A472),$A$2:$A$1000,"&lt;="&amp;A472),"")</f>
        <v/>
      </c>
    </row>
    <row r="473">
      <c r="A473" s="29" t="n"/>
      <c r="B473" s="30" t="n"/>
      <c r="C473" s="30" t="n"/>
      <c r="D473" s="31" t="n"/>
      <c r="E473" s="30" t="n"/>
      <c r="F473" s="32">
        <f>IF(AND(ISNUMBER(D473),ISNUMBER(E473)),D473*E473,"")</f>
        <v/>
      </c>
      <c r="G473" s="31" t="n"/>
      <c r="H473" s="32">
        <f>IF(C473="SELL",F473-SUMIFS($F$2:$F$1000,$B$2:$B$1000,B473,$C$2:$C$1000,"&lt;&gt;SELL",$A$2:$A$1000,"&gt;"&amp;_xlfn.MAXIFS($A$2:$A$1000,$B$2:$B$1000,B473,$C$2:$C$1000,"SELL",$A$2:$A$1000,"&lt;"&amp;A473),$A$2:$A$1000,"&lt;="&amp;A473),"")</f>
        <v/>
      </c>
    </row>
    <row r="474">
      <c r="A474" s="29" t="n"/>
      <c r="B474" s="30" t="n"/>
      <c r="C474" s="30" t="n"/>
      <c r="D474" s="31" t="n"/>
      <c r="E474" s="30" t="n"/>
      <c r="F474" s="32">
        <f>IF(AND(ISNUMBER(D474),ISNUMBER(E474)),D474*E474,"")</f>
        <v/>
      </c>
      <c r="G474" s="31" t="n"/>
      <c r="H474" s="32">
        <f>IF(C474="SELL",F474-SUMIFS($F$2:$F$1000,$B$2:$B$1000,B474,$C$2:$C$1000,"&lt;&gt;SELL",$A$2:$A$1000,"&gt;"&amp;_xlfn.MAXIFS($A$2:$A$1000,$B$2:$B$1000,B474,$C$2:$C$1000,"SELL",$A$2:$A$1000,"&lt;"&amp;A474),$A$2:$A$1000,"&lt;="&amp;A474),"")</f>
        <v/>
      </c>
    </row>
    <row r="475">
      <c r="A475" s="29" t="n"/>
      <c r="B475" s="30" t="n"/>
      <c r="C475" s="30" t="n"/>
      <c r="D475" s="31" t="n"/>
      <c r="E475" s="30" t="n"/>
      <c r="F475" s="32">
        <f>IF(AND(ISNUMBER(D475),ISNUMBER(E475)),D475*E475,"")</f>
        <v/>
      </c>
      <c r="G475" s="31" t="n"/>
      <c r="H475" s="32">
        <f>IF(C475="SELL",F475-SUMIFS($F$2:$F$1000,$B$2:$B$1000,B475,$C$2:$C$1000,"&lt;&gt;SELL",$A$2:$A$1000,"&gt;"&amp;_xlfn.MAXIFS($A$2:$A$1000,$B$2:$B$1000,B475,$C$2:$C$1000,"SELL",$A$2:$A$1000,"&lt;"&amp;A475),$A$2:$A$1000,"&lt;="&amp;A475),"")</f>
        <v/>
      </c>
    </row>
    <row r="476">
      <c r="A476" s="29" t="n"/>
      <c r="B476" s="30" t="n"/>
      <c r="C476" s="30" t="n"/>
      <c r="D476" s="31" t="n"/>
      <c r="E476" s="30" t="n"/>
      <c r="F476" s="32">
        <f>IF(AND(ISNUMBER(D476),ISNUMBER(E476)),D476*E476,"")</f>
        <v/>
      </c>
      <c r="G476" s="31" t="n"/>
      <c r="H476" s="32">
        <f>IF(C476="SELL",F476-SUMIFS($F$2:$F$1000,$B$2:$B$1000,B476,$C$2:$C$1000,"&lt;&gt;SELL",$A$2:$A$1000,"&gt;"&amp;_xlfn.MAXIFS($A$2:$A$1000,$B$2:$B$1000,B476,$C$2:$C$1000,"SELL",$A$2:$A$1000,"&lt;"&amp;A476),$A$2:$A$1000,"&lt;="&amp;A476),"")</f>
        <v/>
      </c>
    </row>
    <row r="477">
      <c r="A477" s="29" t="n"/>
      <c r="B477" s="30" t="n"/>
      <c r="C477" s="30" t="n"/>
      <c r="D477" s="31" t="n"/>
      <c r="E477" s="30" t="n"/>
      <c r="F477" s="32">
        <f>IF(AND(ISNUMBER(D477),ISNUMBER(E477)),D477*E477,"")</f>
        <v/>
      </c>
      <c r="G477" s="31" t="n"/>
      <c r="H477" s="32">
        <f>IF(C477="SELL",F477-SUMIFS($F$2:$F$1000,$B$2:$B$1000,B477,$C$2:$C$1000,"&lt;&gt;SELL",$A$2:$A$1000,"&gt;"&amp;_xlfn.MAXIFS($A$2:$A$1000,$B$2:$B$1000,B477,$C$2:$C$1000,"SELL",$A$2:$A$1000,"&lt;"&amp;A477),$A$2:$A$1000,"&lt;="&amp;A477),"")</f>
        <v/>
      </c>
    </row>
    <row r="478">
      <c r="A478" s="29" t="n"/>
      <c r="B478" s="30" t="n"/>
      <c r="C478" s="30" t="n"/>
      <c r="D478" s="31" t="n"/>
      <c r="E478" s="30" t="n"/>
      <c r="F478" s="32">
        <f>IF(AND(ISNUMBER(D478),ISNUMBER(E478)),D478*E478,"")</f>
        <v/>
      </c>
      <c r="G478" s="31" t="n"/>
      <c r="H478" s="32">
        <f>IF(C478="SELL",F478-SUMIFS($F$2:$F$1000,$B$2:$B$1000,B478,$C$2:$C$1000,"&lt;&gt;SELL",$A$2:$A$1000,"&gt;"&amp;_xlfn.MAXIFS($A$2:$A$1000,$B$2:$B$1000,B478,$C$2:$C$1000,"SELL",$A$2:$A$1000,"&lt;"&amp;A478),$A$2:$A$1000,"&lt;="&amp;A478),"")</f>
        <v/>
      </c>
    </row>
    <row r="479">
      <c r="A479" s="29" t="n"/>
      <c r="B479" s="30" t="n"/>
      <c r="C479" s="30" t="n"/>
      <c r="D479" s="31" t="n"/>
      <c r="E479" s="30" t="n"/>
      <c r="F479" s="32">
        <f>IF(AND(ISNUMBER(D479),ISNUMBER(E479)),D479*E479,"")</f>
        <v/>
      </c>
      <c r="G479" s="31" t="n"/>
      <c r="H479" s="32">
        <f>IF(C479="SELL",F479-SUMIFS($F$2:$F$1000,$B$2:$B$1000,B479,$C$2:$C$1000,"&lt;&gt;SELL",$A$2:$A$1000,"&gt;"&amp;_xlfn.MAXIFS($A$2:$A$1000,$B$2:$B$1000,B479,$C$2:$C$1000,"SELL",$A$2:$A$1000,"&lt;"&amp;A479),$A$2:$A$1000,"&lt;="&amp;A479),"")</f>
        <v/>
      </c>
    </row>
    <row r="480">
      <c r="A480" s="29" t="n"/>
      <c r="B480" s="30" t="n"/>
      <c r="C480" s="30" t="n"/>
      <c r="D480" s="31" t="n"/>
      <c r="E480" s="30" t="n"/>
      <c r="F480" s="32">
        <f>IF(AND(ISNUMBER(D480),ISNUMBER(E480)),D480*E480,"")</f>
        <v/>
      </c>
      <c r="G480" s="31" t="n"/>
      <c r="H480" s="32">
        <f>IF(C480="SELL",F480-SUMIFS($F$2:$F$1000,$B$2:$B$1000,B480,$C$2:$C$1000,"&lt;&gt;SELL",$A$2:$A$1000,"&gt;"&amp;_xlfn.MAXIFS($A$2:$A$1000,$B$2:$B$1000,B480,$C$2:$C$1000,"SELL",$A$2:$A$1000,"&lt;"&amp;A480),$A$2:$A$1000,"&lt;="&amp;A480),"")</f>
        <v/>
      </c>
    </row>
    <row r="481">
      <c r="A481" s="29" t="n"/>
      <c r="B481" s="30" t="n"/>
      <c r="C481" s="30" t="n"/>
      <c r="D481" s="31" t="n"/>
      <c r="E481" s="30" t="n"/>
      <c r="F481" s="32">
        <f>IF(AND(ISNUMBER(D481),ISNUMBER(E481)),D481*E481,"")</f>
        <v/>
      </c>
      <c r="G481" s="31" t="n"/>
      <c r="H481" s="32">
        <f>IF(C481="SELL",F481-SUMIFS($F$2:$F$1000,$B$2:$B$1000,B481,$C$2:$C$1000,"&lt;&gt;SELL",$A$2:$A$1000,"&gt;"&amp;_xlfn.MAXIFS($A$2:$A$1000,$B$2:$B$1000,B481,$C$2:$C$1000,"SELL",$A$2:$A$1000,"&lt;"&amp;A481),$A$2:$A$1000,"&lt;="&amp;A481),"")</f>
        <v/>
      </c>
    </row>
    <row r="482">
      <c r="A482" s="29" t="n"/>
      <c r="B482" s="30" t="n"/>
      <c r="C482" s="30" t="n"/>
      <c r="D482" s="31" t="n"/>
      <c r="E482" s="30" t="n"/>
      <c r="F482" s="32">
        <f>IF(AND(ISNUMBER(D482),ISNUMBER(E482)),D482*E482,"")</f>
        <v/>
      </c>
      <c r="G482" s="31" t="n"/>
      <c r="H482" s="32">
        <f>IF(C482="SELL",F482-SUMIFS($F$2:$F$1000,$B$2:$B$1000,B482,$C$2:$C$1000,"&lt;&gt;SELL",$A$2:$A$1000,"&gt;"&amp;_xlfn.MAXIFS($A$2:$A$1000,$B$2:$B$1000,B482,$C$2:$C$1000,"SELL",$A$2:$A$1000,"&lt;"&amp;A482),$A$2:$A$1000,"&lt;="&amp;A482),"")</f>
        <v/>
      </c>
    </row>
    <row r="483">
      <c r="A483" s="29" t="n"/>
      <c r="B483" s="30" t="n"/>
      <c r="C483" s="30" t="n"/>
      <c r="D483" s="31" t="n"/>
      <c r="E483" s="30" t="n"/>
      <c r="F483" s="32">
        <f>IF(AND(ISNUMBER(D483),ISNUMBER(E483)),D483*E483,"")</f>
        <v/>
      </c>
      <c r="G483" s="31" t="n"/>
      <c r="H483" s="32">
        <f>IF(C483="SELL",F483-SUMIFS($F$2:$F$1000,$B$2:$B$1000,B483,$C$2:$C$1000,"&lt;&gt;SELL",$A$2:$A$1000,"&gt;"&amp;_xlfn.MAXIFS($A$2:$A$1000,$B$2:$B$1000,B483,$C$2:$C$1000,"SELL",$A$2:$A$1000,"&lt;"&amp;A483),$A$2:$A$1000,"&lt;="&amp;A483),"")</f>
        <v/>
      </c>
    </row>
    <row r="484">
      <c r="A484" s="29" t="n"/>
      <c r="B484" s="30" t="n"/>
      <c r="C484" s="30" t="n"/>
      <c r="D484" s="31" t="n"/>
      <c r="E484" s="30" t="n"/>
      <c r="F484" s="32">
        <f>IF(AND(ISNUMBER(D484),ISNUMBER(E484)),D484*E484,"")</f>
        <v/>
      </c>
      <c r="G484" s="31" t="n"/>
      <c r="H484" s="32">
        <f>IF(C484="SELL",F484-SUMIFS($F$2:$F$1000,$B$2:$B$1000,B484,$C$2:$C$1000,"&lt;&gt;SELL",$A$2:$A$1000,"&gt;"&amp;_xlfn.MAXIFS($A$2:$A$1000,$B$2:$B$1000,B484,$C$2:$C$1000,"SELL",$A$2:$A$1000,"&lt;"&amp;A484),$A$2:$A$1000,"&lt;="&amp;A484),"")</f>
        <v/>
      </c>
    </row>
    <row r="485">
      <c r="A485" s="29" t="n"/>
      <c r="B485" s="30" t="n"/>
      <c r="C485" s="30" t="n"/>
      <c r="D485" s="31" t="n"/>
      <c r="E485" s="30" t="n"/>
      <c r="F485" s="32">
        <f>IF(AND(ISNUMBER(D485),ISNUMBER(E485)),D485*E485,"")</f>
        <v/>
      </c>
      <c r="G485" s="31" t="n"/>
      <c r="H485" s="32">
        <f>IF(C485="SELL",F485-SUMIFS($F$2:$F$1000,$B$2:$B$1000,B485,$C$2:$C$1000,"&lt;&gt;SELL",$A$2:$A$1000,"&gt;"&amp;_xlfn.MAXIFS($A$2:$A$1000,$B$2:$B$1000,B485,$C$2:$C$1000,"SELL",$A$2:$A$1000,"&lt;"&amp;A485),$A$2:$A$1000,"&lt;="&amp;A485),"")</f>
        <v/>
      </c>
    </row>
    <row r="486">
      <c r="A486" s="29" t="n"/>
      <c r="B486" s="30" t="n"/>
      <c r="C486" s="30" t="n"/>
      <c r="D486" s="31" t="n"/>
      <c r="E486" s="30" t="n"/>
      <c r="F486" s="32">
        <f>IF(AND(ISNUMBER(D486),ISNUMBER(E486)),D486*E486,"")</f>
        <v/>
      </c>
      <c r="G486" s="31" t="n"/>
      <c r="H486" s="32">
        <f>IF(C486="SELL",F486-SUMIFS($F$2:$F$1000,$B$2:$B$1000,B486,$C$2:$C$1000,"&lt;&gt;SELL",$A$2:$A$1000,"&gt;"&amp;_xlfn.MAXIFS($A$2:$A$1000,$B$2:$B$1000,B486,$C$2:$C$1000,"SELL",$A$2:$A$1000,"&lt;"&amp;A486),$A$2:$A$1000,"&lt;="&amp;A486),"")</f>
        <v/>
      </c>
    </row>
    <row r="487">
      <c r="A487" s="29" t="n"/>
      <c r="B487" s="30" t="n"/>
      <c r="C487" s="30" t="n"/>
      <c r="D487" s="31" t="n"/>
      <c r="E487" s="30" t="n"/>
      <c r="F487" s="32">
        <f>IF(AND(ISNUMBER(D487),ISNUMBER(E487)),D487*E487,"")</f>
        <v/>
      </c>
      <c r="G487" s="31" t="n"/>
      <c r="H487" s="32">
        <f>IF(C487="SELL",F487-SUMIFS($F$2:$F$1000,$B$2:$B$1000,B487,$C$2:$C$1000,"&lt;&gt;SELL",$A$2:$A$1000,"&gt;"&amp;_xlfn.MAXIFS($A$2:$A$1000,$B$2:$B$1000,B487,$C$2:$C$1000,"SELL",$A$2:$A$1000,"&lt;"&amp;A487),$A$2:$A$1000,"&lt;="&amp;A487),"")</f>
        <v/>
      </c>
    </row>
    <row r="488">
      <c r="A488" s="29" t="n"/>
      <c r="B488" s="30" t="n"/>
      <c r="C488" s="30" t="n"/>
      <c r="D488" s="31" t="n"/>
      <c r="E488" s="30" t="n"/>
      <c r="F488" s="32">
        <f>IF(AND(ISNUMBER(D488),ISNUMBER(E488)),D488*E488,"")</f>
        <v/>
      </c>
      <c r="G488" s="31" t="n"/>
      <c r="H488" s="32">
        <f>IF(C488="SELL",F488-SUMIFS($F$2:$F$1000,$B$2:$B$1000,B488,$C$2:$C$1000,"&lt;&gt;SELL",$A$2:$A$1000,"&gt;"&amp;_xlfn.MAXIFS($A$2:$A$1000,$B$2:$B$1000,B488,$C$2:$C$1000,"SELL",$A$2:$A$1000,"&lt;"&amp;A488),$A$2:$A$1000,"&lt;="&amp;A488),"")</f>
        <v/>
      </c>
    </row>
    <row r="489">
      <c r="A489" s="29" t="n"/>
      <c r="B489" s="30" t="n"/>
      <c r="C489" s="30" t="n"/>
      <c r="D489" s="31" t="n"/>
      <c r="E489" s="30" t="n"/>
      <c r="F489" s="32">
        <f>IF(AND(ISNUMBER(D489),ISNUMBER(E489)),D489*E489,"")</f>
        <v/>
      </c>
      <c r="G489" s="31" t="n"/>
      <c r="H489" s="32">
        <f>IF(C489="SELL",F489-SUMIFS($F$2:$F$1000,$B$2:$B$1000,B489,$C$2:$C$1000,"&lt;&gt;SELL",$A$2:$A$1000,"&gt;"&amp;_xlfn.MAXIFS($A$2:$A$1000,$B$2:$B$1000,B489,$C$2:$C$1000,"SELL",$A$2:$A$1000,"&lt;"&amp;A489),$A$2:$A$1000,"&lt;="&amp;A489),"")</f>
        <v/>
      </c>
    </row>
    <row r="490">
      <c r="A490" s="29" t="n"/>
      <c r="B490" s="30" t="n"/>
      <c r="C490" s="30" t="n"/>
      <c r="D490" s="31" t="n"/>
      <c r="E490" s="30" t="n"/>
      <c r="F490" s="32">
        <f>IF(AND(ISNUMBER(D490),ISNUMBER(E490)),D490*E490,"")</f>
        <v/>
      </c>
      <c r="G490" s="31" t="n"/>
      <c r="H490" s="32">
        <f>IF(C490="SELL",F490-SUMIFS($F$2:$F$1000,$B$2:$B$1000,B490,$C$2:$C$1000,"&lt;&gt;SELL",$A$2:$A$1000,"&gt;"&amp;_xlfn.MAXIFS($A$2:$A$1000,$B$2:$B$1000,B490,$C$2:$C$1000,"SELL",$A$2:$A$1000,"&lt;"&amp;A490),$A$2:$A$1000,"&lt;="&amp;A490),"")</f>
        <v/>
      </c>
    </row>
    <row r="491">
      <c r="A491" s="29" t="n"/>
      <c r="B491" s="30" t="n"/>
      <c r="C491" s="30" t="n"/>
      <c r="D491" s="31" t="n"/>
      <c r="E491" s="30" t="n"/>
      <c r="F491" s="32">
        <f>IF(AND(ISNUMBER(D491),ISNUMBER(E491)),D491*E491,"")</f>
        <v/>
      </c>
      <c r="G491" s="31" t="n"/>
      <c r="H491" s="32">
        <f>IF(C491="SELL",F491-SUMIFS($F$2:$F$1000,$B$2:$B$1000,B491,$C$2:$C$1000,"&lt;&gt;SELL",$A$2:$A$1000,"&gt;"&amp;_xlfn.MAXIFS($A$2:$A$1000,$B$2:$B$1000,B491,$C$2:$C$1000,"SELL",$A$2:$A$1000,"&lt;"&amp;A491),$A$2:$A$1000,"&lt;="&amp;A491),"")</f>
        <v/>
      </c>
    </row>
    <row r="492">
      <c r="A492" s="29" t="n"/>
      <c r="B492" s="30" t="n"/>
      <c r="C492" s="30" t="n"/>
      <c r="D492" s="31" t="n"/>
      <c r="E492" s="30" t="n"/>
      <c r="F492" s="32">
        <f>IF(AND(ISNUMBER(D492),ISNUMBER(E492)),D492*E492,"")</f>
        <v/>
      </c>
      <c r="G492" s="31" t="n"/>
      <c r="H492" s="32">
        <f>IF(C492="SELL",F492-SUMIFS($F$2:$F$1000,$B$2:$B$1000,B492,$C$2:$C$1000,"&lt;&gt;SELL",$A$2:$A$1000,"&gt;"&amp;_xlfn.MAXIFS($A$2:$A$1000,$B$2:$B$1000,B492,$C$2:$C$1000,"SELL",$A$2:$A$1000,"&lt;"&amp;A492),$A$2:$A$1000,"&lt;="&amp;A492),"")</f>
        <v/>
      </c>
    </row>
    <row r="493">
      <c r="A493" s="29" t="n"/>
      <c r="B493" s="30" t="n"/>
      <c r="C493" s="30" t="n"/>
      <c r="D493" s="31" t="n"/>
      <c r="E493" s="30" t="n"/>
      <c r="F493" s="32">
        <f>IF(AND(ISNUMBER(D493),ISNUMBER(E493)),D493*E493,"")</f>
        <v/>
      </c>
      <c r="G493" s="31" t="n"/>
      <c r="H493" s="32">
        <f>IF(C493="SELL",F493-SUMIFS($F$2:$F$1000,$B$2:$B$1000,B493,$C$2:$C$1000,"&lt;&gt;SELL",$A$2:$A$1000,"&gt;"&amp;_xlfn.MAXIFS($A$2:$A$1000,$B$2:$B$1000,B493,$C$2:$C$1000,"SELL",$A$2:$A$1000,"&lt;"&amp;A493),$A$2:$A$1000,"&lt;="&amp;A493),"")</f>
        <v/>
      </c>
    </row>
    <row r="494">
      <c r="A494" s="29" t="n"/>
      <c r="B494" s="30" t="n"/>
      <c r="C494" s="30" t="n"/>
      <c r="D494" s="31" t="n"/>
      <c r="E494" s="30" t="n"/>
      <c r="F494" s="32">
        <f>IF(AND(ISNUMBER(D494),ISNUMBER(E494)),D494*E494,"")</f>
        <v/>
      </c>
      <c r="G494" s="31" t="n"/>
      <c r="H494" s="32">
        <f>IF(C494="SELL",F494-SUMIFS($F$2:$F$1000,$B$2:$B$1000,B494,$C$2:$C$1000,"&lt;&gt;SELL",$A$2:$A$1000,"&gt;"&amp;_xlfn.MAXIFS($A$2:$A$1000,$B$2:$B$1000,B494,$C$2:$C$1000,"SELL",$A$2:$A$1000,"&lt;"&amp;A494),$A$2:$A$1000,"&lt;="&amp;A494),"")</f>
        <v/>
      </c>
    </row>
    <row r="495">
      <c r="A495" s="29" t="n"/>
      <c r="B495" s="30" t="n"/>
      <c r="C495" s="30" t="n"/>
      <c r="D495" s="31" t="n"/>
      <c r="E495" s="30" t="n"/>
      <c r="F495" s="32">
        <f>IF(AND(ISNUMBER(D495),ISNUMBER(E495)),D495*E495,"")</f>
        <v/>
      </c>
      <c r="G495" s="31" t="n"/>
      <c r="H495" s="32">
        <f>IF(C495="SELL",F495-SUMIFS($F$2:$F$1000,$B$2:$B$1000,B495,$C$2:$C$1000,"&lt;&gt;SELL",$A$2:$A$1000,"&gt;"&amp;_xlfn.MAXIFS($A$2:$A$1000,$B$2:$B$1000,B495,$C$2:$C$1000,"SELL",$A$2:$A$1000,"&lt;"&amp;A495),$A$2:$A$1000,"&lt;="&amp;A495),"")</f>
        <v/>
      </c>
    </row>
    <row r="496">
      <c r="A496" s="29" t="n"/>
      <c r="B496" s="30" t="n"/>
      <c r="C496" s="30" t="n"/>
      <c r="D496" s="31" t="n"/>
      <c r="E496" s="30" t="n"/>
      <c r="F496" s="32">
        <f>IF(AND(ISNUMBER(D496),ISNUMBER(E496)),D496*E496,"")</f>
        <v/>
      </c>
      <c r="G496" s="31" t="n"/>
      <c r="H496" s="32">
        <f>IF(C496="SELL",F496-SUMIFS($F$2:$F$1000,$B$2:$B$1000,B496,$C$2:$C$1000,"&lt;&gt;SELL",$A$2:$A$1000,"&gt;"&amp;_xlfn.MAXIFS($A$2:$A$1000,$B$2:$B$1000,B496,$C$2:$C$1000,"SELL",$A$2:$A$1000,"&lt;"&amp;A496),$A$2:$A$1000,"&lt;="&amp;A496),"")</f>
        <v/>
      </c>
    </row>
    <row r="497">
      <c r="A497" s="29" t="n"/>
      <c r="B497" s="30" t="n"/>
      <c r="C497" s="30" t="n"/>
      <c r="D497" s="31" t="n"/>
      <c r="E497" s="30" t="n"/>
      <c r="F497" s="32">
        <f>IF(AND(ISNUMBER(D497),ISNUMBER(E497)),D497*E497,"")</f>
        <v/>
      </c>
      <c r="G497" s="31" t="n"/>
      <c r="H497" s="32">
        <f>IF(C497="SELL",F497-SUMIFS($F$2:$F$1000,$B$2:$B$1000,B497,$C$2:$C$1000,"&lt;&gt;SELL",$A$2:$A$1000,"&gt;"&amp;_xlfn.MAXIFS($A$2:$A$1000,$B$2:$B$1000,B497,$C$2:$C$1000,"SELL",$A$2:$A$1000,"&lt;"&amp;A497),$A$2:$A$1000,"&lt;="&amp;A497),"")</f>
        <v/>
      </c>
    </row>
    <row r="498">
      <c r="A498" s="29" t="n"/>
      <c r="B498" s="30" t="n"/>
      <c r="C498" s="30" t="n"/>
      <c r="D498" s="31" t="n"/>
      <c r="E498" s="30" t="n"/>
      <c r="F498" s="32">
        <f>IF(AND(ISNUMBER(D498),ISNUMBER(E498)),D498*E498,"")</f>
        <v/>
      </c>
      <c r="G498" s="31" t="n"/>
      <c r="H498" s="32">
        <f>IF(C498="SELL",F498-SUMIFS($F$2:$F$1000,$B$2:$B$1000,B498,$C$2:$C$1000,"&lt;&gt;SELL",$A$2:$A$1000,"&gt;"&amp;_xlfn.MAXIFS($A$2:$A$1000,$B$2:$B$1000,B498,$C$2:$C$1000,"SELL",$A$2:$A$1000,"&lt;"&amp;A498),$A$2:$A$1000,"&lt;="&amp;A498),"")</f>
        <v/>
      </c>
    </row>
    <row r="499">
      <c r="A499" s="29" t="n"/>
      <c r="B499" s="30" t="n"/>
      <c r="C499" s="30" t="n"/>
      <c r="D499" s="31" t="n"/>
      <c r="E499" s="30" t="n"/>
      <c r="F499" s="32">
        <f>IF(AND(ISNUMBER(D499),ISNUMBER(E499)),D499*E499,"")</f>
        <v/>
      </c>
      <c r="G499" s="31" t="n"/>
      <c r="H499" s="32">
        <f>IF(C499="SELL",F499-SUMIFS($F$2:$F$1000,$B$2:$B$1000,B499,$C$2:$C$1000,"&lt;&gt;SELL",$A$2:$A$1000,"&gt;"&amp;_xlfn.MAXIFS($A$2:$A$1000,$B$2:$B$1000,B499,$C$2:$C$1000,"SELL",$A$2:$A$1000,"&lt;"&amp;A499),$A$2:$A$1000,"&lt;="&amp;A499),"")</f>
        <v/>
      </c>
    </row>
    <row r="500">
      <c r="A500" s="29" t="n"/>
      <c r="B500" s="30" t="n"/>
      <c r="C500" s="30" t="n"/>
      <c r="D500" s="31" t="n"/>
      <c r="E500" s="30" t="n"/>
      <c r="F500" s="32">
        <f>IF(AND(ISNUMBER(D500),ISNUMBER(E500)),D500*E500,"")</f>
        <v/>
      </c>
      <c r="G500" s="31" t="n"/>
      <c r="H500" s="32">
        <f>IF(C500="SELL",F500-SUMIFS($F$2:$F$1000,$B$2:$B$1000,B500,$C$2:$C$1000,"&lt;&gt;SELL",$A$2:$A$1000,"&gt;"&amp;_xlfn.MAXIFS($A$2:$A$1000,$B$2:$B$1000,B500,$C$2:$C$1000,"SELL",$A$2:$A$1000,"&lt;"&amp;A500),$A$2:$A$1000,"&lt;="&amp;A500),"")</f>
        <v/>
      </c>
    </row>
    <row r="501">
      <c r="A501" s="29" t="n"/>
      <c r="B501" s="30" t="n"/>
      <c r="C501" s="30" t="n"/>
      <c r="D501" s="31" t="n"/>
      <c r="E501" s="30" t="n"/>
      <c r="F501" s="32">
        <f>IF(AND(ISNUMBER(D501),ISNUMBER(E501)),D501*E501,"")</f>
        <v/>
      </c>
      <c r="G501" s="31" t="n"/>
      <c r="H501" s="32">
        <f>IF(C501="SELL",F501-SUMIFS($F$2:$F$1000,$B$2:$B$1000,B501,$C$2:$C$1000,"&lt;&gt;SELL",$A$2:$A$1000,"&gt;"&amp;_xlfn.MAXIFS($A$2:$A$1000,$B$2:$B$1000,B501,$C$2:$C$1000,"SELL",$A$2:$A$1000,"&lt;"&amp;A501),$A$2:$A$1000,"&lt;="&amp;A501),"")</f>
        <v/>
      </c>
    </row>
    <row r="502">
      <c r="A502" s="29" t="n"/>
      <c r="B502" s="30" t="n"/>
      <c r="C502" s="30" t="n"/>
      <c r="D502" s="31" t="n"/>
      <c r="E502" s="30" t="n"/>
      <c r="F502" s="32">
        <f>IF(AND(ISNUMBER(D502),ISNUMBER(E502)),D502*E502,"")</f>
        <v/>
      </c>
      <c r="G502" s="31" t="n"/>
      <c r="H502" s="32">
        <f>IF(C502="SELL",F502-SUMIFS($F$2:$F$1000,$B$2:$B$1000,B502,$C$2:$C$1000,"&lt;&gt;SELL",$A$2:$A$1000,"&gt;"&amp;_xlfn.MAXIFS($A$2:$A$1000,$B$2:$B$1000,B502,$C$2:$C$1000,"SELL",$A$2:$A$1000,"&lt;"&amp;A502),$A$2:$A$1000,"&lt;="&amp;A502),"")</f>
        <v/>
      </c>
    </row>
    <row r="503">
      <c r="A503" s="29" t="n"/>
      <c r="B503" s="30" t="n"/>
      <c r="C503" s="30" t="n"/>
      <c r="D503" s="31" t="n"/>
      <c r="E503" s="30" t="n"/>
      <c r="F503" s="32">
        <f>IF(AND(ISNUMBER(D503),ISNUMBER(E503)),D503*E503,"")</f>
        <v/>
      </c>
      <c r="G503" s="31" t="n"/>
      <c r="H503" s="32">
        <f>IF(C503="SELL",F503-SUMIFS($F$2:$F$1000,$B$2:$B$1000,B503,$C$2:$C$1000,"&lt;&gt;SELL",$A$2:$A$1000,"&gt;"&amp;_xlfn.MAXIFS($A$2:$A$1000,$B$2:$B$1000,B503,$C$2:$C$1000,"SELL",$A$2:$A$1000,"&lt;"&amp;A503),$A$2:$A$1000,"&lt;="&amp;A503),"")</f>
        <v/>
      </c>
    </row>
    <row r="504">
      <c r="A504" s="29" t="n"/>
      <c r="B504" s="30" t="n"/>
      <c r="C504" s="30" t="n"/>
      <c r="D504" s="31" t="n"/>
      <c r="E504" s="30" t="n"/>
      <c r="F504" s="32">
        <f>IF(AND(ISNUMBER(D504),ISNUMBER(E504)),D504*E504,"")</f>
        <v/>
      </c>
      <c r="G504" s="31" t="n"/>
      <c r="H504" s="32">
        <f>IF(C504="SELL",F504-SUMIFS($F$2:$F$1000,$B$2:$B$1000,B504,$C$2:$C$1000,"&lt;&gt;SELL",$A$2:$A$1000,"&gt;"&amp;_xlfn.MAXIFS($A$2:$A$1000,$B$2:$B$1000,B504,$C$2:$C$1000,"SELL",$A$2:$A$1000,"&lt;"&amp;A504),$A$2:$A$1000,"&lt;="&amp;A504),"")</f>
        <v/>
      </c>
    </row>
    <row r="505">
      <c r="A505" s="29" t="n"/>
      <c r="B505" s="30" t="n"/>
      <c r="C505" s="30" t="n"/>
      <c r="D505" s="31" t="n"/>
      <c r="E505" s="30" t="n"/>
      <c r="F505" s="32">
        <f>IF(AND(ISNUMBER(D505),ISNUMBER(E505)),D505*E505,"")</f>
        <v/>
      </c>
      <c r="G505" s="31" t="n"/>
      <c r="H505" s="32">
        <f>IF(C505="SELL",F505-SUMIFS($F$2:$F$1000,$B$2:$B$1000,B505,$C$2:$C$1000,"&lt;&gt;SELL",$A$2:$A$1000,"&gt;"&amp;_xlfn.MAXIFS($A$2:$A$1000,$B$2:$B$1000,B505,$C$2:$C$1000,"SELL",$A$2:$A$1000,"&lt;"&amp;A505),$A$2:$A$1000,"&lt;="&amp;A505),"")</f>
        <v/>
      </c>
    </row>
    <row r="506">
      <c r="A506" s="29" t="n"/>
      <c r="B506" s="30" t="n"/>
      <c r="C506" s="30" t="n"/>
      <c r="D506" s="31" t="n"/>
      <c r="E506" s="30" t="n"/>
      <c r="F506" s="32">
        <f>IF(AND(ISNUMBER(D506),ISNUMBER(E506)),D506*E506,"")</f>
        <v/>
      </c>
      <c r="G506" s="31" t="n"/>
      <c r="H506" s="32">
        <f>IF(C506="SELL",F506-SUMIFS($F$2:$F$1000,$B$2:$B$1000,B506,$C$2:$C$1000,"&lt;&gt;SELL",$A$2:$A$1000,"&gt;"&amp;_xlfn.MAXIFS($A$2:$A$1000,$B$2:$B$1000,B506,$C$2:$C$1000,"SELL",$A$2:$A$1000,"&lt;"&amp;A506),$A$2:$A$1000,"&lt;="&amp;A506),"")</f>
        <v/>
      </c>
    </row>
    <row r="507">
      <c r="A507" s="29" t="n"/>
      <c r="B507" s="30" t="n"/>
      <c r="C507" s="30" t="n"/>
      <c r="D507" s="31" t="n"/>
      <c r="E507" s="30" t="n"/>
      <c r="F507" s="32">
        <f>IF(AND(ISNUMBER(D507),ISNUMBER(E507)),D507*E507,"")</f>
        <v/>
      </c>
      <c r="G507" s="31" t="n"/>
      <c r="H507" s="32">
        <f>IF(C507="SELL",F507-SUMIFS($F$2:$F$1000,$B$2:$B$1000,B507,$C$2:$C$1000,"&lt;&gt;SELL",$A$2:$A$1000,"&gt;"&amp;_xlfn.MAXIFS($A$2:$A$1000,$B$2:$B$1000,B507,$C$2:$C$1000,"SELL",$A$2:$A$1000,"&lt;"&amp;A507),$A$2:$A$1000,"&lt;="&amp;A507),"")</f>
        <v/>
      </c>
    </row>
    <row r="508">
      <c r="A508" s="29" t="n"/>
      <c r="B508" s="30" t="n"/>
      <c r="C508" s="30" t="n"/>
      <c r="D508" s="31" t="n"/>
      <c r="E508" s="30" t="n"/>
      <c r="F508" s="32">
        <f>IF(AND(ISNUMBER(D508),ISNUMBER(E508)),D508*E508,"")</f>
        <v/>
      </c>
      <c r="G508" s="31" t="n"/>
      <c r="H508" s="32">
        <f>IF(C508="SELL",F508-SUMIFS($F$2:$F$1000,$B$2:$B$1000,B508,$C$2:$C$1000,"&lt;&gt;SELL",$A$2:$A$1000,"&gt;"&amp;_xlfn.MAXIFS($A$2:$A$1000,$B$2:$B$1000,B508,$C$2:$C$1000,"SELL",$A$2:$A$1000,"&lt;"&amp;A508),$A$2:$A$1000,"&lt;="&amp;A508),"")</f>
        <v/>
      </c>
    </row>
    <row r="509">
      <c r="A509" s="29" t="n"/>
      <c r="B509" s="30" t="n"/>
      <c r="C509" s="30" t="n"/>
      <c r="D509" s="31" t="n"/>
      <c r="E509" s="30" t="n"/>
      <c r="F509" s="32">
        <f>IF(AND(ISNUMBER(D509),ISNUMBER(E509)),D509*E509,"")</f>
        <v/>
      </c>
      <c r="G509" s="31" t="n"/>
      <c r="H509" s="32">
        <f>IF(C509="SELL",F509-SUMIFS($F$2:$F$1000,$B$2:$B$1000,B509,$C$2:$C$1000,"&lt;&gt;SELL",$A$2:$A$1000,"&gt;"&amp;_xlfn.MAXIFS($A$2:$A$1000,$B$2:$B$1000,B509,$C$2:$C$1000,"SELL",$A$2:$A$1000,"&lt;"&amp;A509),$A$2:$A$1000,"&lt;="&amp;A509),"")</f>
        <v/>
      </c>
    </row>
    <row r="510">
      <c r="A510" s="29" t="n"/>
      <c r="B510" s="30" t="n"/>
      <c r="C510" s="30" t="n"/>
      <c r="D510" s="31" t="n"/>
      <c r="E510" s="30" t="n"/>
      <c r="F510" s="32">
        <f>IF(AND(ISNUMBER(D510),ISNUMBER(E510)),D510*E510,"")</f>
        <v/>
      </c>
      <c r="G510" s="31" t="n"/>
      <c r="H510" s="32">
        <f>IF(C510="SELL",F510-SUMIFS($F$2:$F$1000,$B$2:$B$1000,B510,$C$2:$C$1000,"&lt;&gt;SELL",$A$2:$A$1000,"&gt;"&amp;_xlfn.MAXIFS($A$2:$A$1000,$B$2:$B$1000,B510,$C$2:$C$1000,"SELL",$A$2:$A$1000,"&lt;"&amp;A510),$A$2:$A$1000,"&lt;="&amp;A510),"")</f>
        <v/>
      </c>
    </row>
    <row r="511">
      <c r="A511" s="29" t="n"/>
      <c r="B511" s="30" t="n"/>
      <c r="C511" s="30" t="n"/>
      <c r="D511" s="31" t="n"/>
      <c r="E511" s="30" t="n"/>
      <c r="F511" s="32">
        <f>IF(AND(ISNUMBER(D511),ISNUMBER(E511)),D511*E511,"")</f>
        <v/>
      </c>
      <c r="G511" s="31" t="n"/>
      <c r="H511" s="32">
        <f>IF(C511="SELL",F511-SUMIFS($F$2:$F$1000,$B$2:$B$1000,B511,$C$2:$C$1000,"&lt;&gt;SELL",$A$2:$A$1000,"&gt;"&amp;_xlfn.MAXIFS($A$2:$A$1000,$B$2:$B$1000,B511,$C$2:$C$1000,"SELL",$A$2:$A$1000,"&lt;"&amp;A511),$A$2:$A$1000,"&lt;="&amp;A511),"")</f>
        <v/>
      </c>
    </row>
    <row r="512">
      <c r="A512" s="29" t="n"/>
      <c r="B512" s="30" t="n"/>
      <c r="C512" s="30" t="n"/>
      <c r="D512" s="31" t="n"/>
      <c r="E512" s="30" t="n"/>
      <c r="F512" s="32">
        <f>IF(AND(ISNUMBER(D512),ISNUMBER(E512)),D512*E512,"")</f>
        <v/>
      </c>
      <c r="G512" s="31" t="n"/>
      <c r="H512" s="32">
        <f>IF(C512="SELL",F512-SUMIFS($F$2:$F$1000,$B$2:$B$1000,B512,$C$2:$C$1000,"&lt;&gt;SELL",$A$2:$A$1000,"&gt;"&amp;_xlfn.MAXIFS($A$2:$A$1000,$B$2:$B$1000,B512,$C$2:$C$1000,"SELL",$A$2:$A$1000,"&lt;"&amp;A512),$A$2:$A$1000,"&lt;="&amp;A512),"")</f>
        <v/>
      </c>
    </row>
    <row r="513">
      <c r="A513" s="29" t="n"/>
      <c r="B513" s="30" t="n"/>
      <c r="C513" s="30" t="n"/>
      <c r="D513" s="31" t="n"/>
      <c r="E513" s="30" t="n"/>
      <c r="F513" s="32">
        <f>IF(AND(ISNUMBER(D513),ISNUMBER(E513)),D513*E513,"")</f>
        <v/>
      </c>
      <c r="G513" s="31" t="n"/>
      <c r="H513" s="32">
        <f>IF(C513="SELL",F513-SUMIFS($F$2:$F$1000,$B$2:$B$1000,B513,$C$2:$C$1000,"&lt;&gt;SELL",$A$2:$A$1000,"&gt;"&amp;_xlfn.MAXIFS($A$2:$A$1000,$B$2:$B$1000,B513,$C$2:$C$1000,"SELL",$A$2:$A$1000,"&lt;"&amp;A513),$A$2:$A$1000,"&lt;="&amp;A513),"")</f>
        <v/>
      </c>
    </row>
    <row r="514">
      <c r="A514" s="29" t="n"/>
      <c r="B514" s="30" t="n"/>
      <c r="C514" s="30" t="n"/>
      <c r="D514" s="31" t="n"/>
      <c r="E514" s="30" t="n"/>
      <c r="F514" s="32">
        <f>IF(AND(ISNUMBER(D514),ISNUMBER(E514)),D514*E514,"")</f>
        <v/>
      </c>
      <c r="G514" s="31" t="n"/>
      <c r="H514" s="32">
        <f>IF(C514="SELL",F514-SUMIFS($F$2:$F$1000,$B$2:$B$1000,B514,$C$2:$C$1000,"&lt;&gt;SELL",$A$2:$A$1000,"&gt;"&amp;_xlfn.MAXIFS($A$2:$A$1000,$B$2:$B$1000,B514,$C$2:$C$1000,"SELL",$A$2:$A$1000,"&lt;"&amp;A514),$A$2:$A$1000,"&lt;="&amp;A514),"")</f>
        <v/>
      </c>
    </row>
    <row r="515">
      <c r="A515" s="29" t="n"/>
      <c r="B515" s="30" t="n"/>
      <c r="C515" s="30" t="n"/>
      <c r="D515" s="31" t="n"/>
      <c r="E515" s="30" t="n"/>
      <c r="F515" s="32">
        <f>IF(AND(ISNUMBER(D515),ISNUMBER(E515)),D515*E515,"")</f>
        <v/>
      </c>
      <c r="G515" s="31" t="n"/>
      <c r="H515" s="32">
        <f>IF(C515="SELL",F515-SUMIFS($F$2:$F$1000,$B$2:$B$1000,B515,$C$2:$C$1000,"&lt;&gt;SELL",$A$2:$A$1000,"&gt;"&amp;_xlfn.MAXIFS($A$2:$A$1000,$B$2:$B$1000,B515,$C$2:$C$1000,"SELL",$A$2:$A$1000,"&lt;"&amp;A515),$A$2:$A$1000,"&lt;="&amp;A515),"")</f>
        <v/>
      </c>
    </row>
    <row r="516">
      <c r="A516" s="29" t="n"/>
      <c r="B516" s="30" t="n"/>
      <c r="C516" s="30" t="n"/>
      <c r="D516" s="31" t="n"/>
      <c r="E516" s="30" t="n"/>
      <c r="F516" s="32">
        <f>IF(AND(ISNUMBER(D516),ISNUMBER(E516)),D516*E516,"")</f>
        <v/>
      </c>
      <c r="G516" s="31" t="n"/>
      <c r="H516" s="32">
        <f>IF(C516="SELL",F516-SUMIFS($F$2:$F$1000,$B$2:$B$1000,B516,$C$2:$C$1000,"&lt;&gt;SELL",$A$2:$A$1000,"&gt;"&amp;_xlfn.MAXIFS($A$2:$A$1000,$B$2:$B$1000,B516,$C$2:$C$1000,"SELL",$A$2:$A$1000,"&lt;"&amp;A516),$A$2:$A$1000,"&lt;="&amp;A516),"")</f>
        <v/>
      </c>
    </row>
    <row r="517">
      <c r="A517" s="29" t="n"/>
      <c r="B517" s="30" t="n"/>
      <c r="C517" s="30" t="n"/>
      <c r="D517" s="31" t="n"/>
      <c r="E517" s="30" t="n"/>
      <c r="F517" s="32">
        <f>IF(AND(ISNUMBER(D517),ISNUMBER(E517)),D517*E517,"")</f>
        <v/>
      </c>
      <c r="G517" s="31" t="n"/>
      <c r="H517" s="32">
        <f>IF(C517="SELL",F517-SUMIFS($F$2:$F$1000,$B$2:$B$1000,B517,$C$2:$C$1000,"&lt;&gt;SELL",$A$2:$A$1000,"&gt;"&amp;_xlfn.MAXIFS($A$2:$A$1000,$B$2:$B$1000,B517,$C$2:$C$1000,"SELL",$A$2:$A$1000,"&lt;"&amp;A517),$A$2:$A$1000,"&lt;="&amp;A517),"")</f>
        <v/>
      </c>
    </row>
    <row r="518">
      <c r="A518" s="29" t="n"/>
      <c r="B518" s="30" t="n"/>
      <c r="C518" s="30" t="n"/>
      <c r="D518" s="31" t="n"/>
      <c r="E518" s="30" t="n"/>
      <c r="F518" s="32">
        <f>IF(AND(ISNUMBER(D518),ISNUMBER(E518)),D518*E518,"")</f>
        <v/>
      </c>
      <c r="G518" s="31" t="n"/>
      <c r="H518" s="32">
        <f>IF(C518="SELL",F518-SUMIFS($F$2:$F$1000,$B$2:$B$1000,B518,$C$2:$C$1000,"&lt;&gt;SELL",$A$2:$A$1000,"&gt;"&amp;_xlfn.MAXIFS($A$2:$A$1000,$B$2:$B$1000,B518,$C$2:$C$1000,"SELL",$A$2:$A$1000,"&lt;"&amp;A518),$A$2:$A$1000,"&lt;="&amp;A518),"")</f>
        <v/>
      </c>
    </row>
    <row r="519">
      <c r="A519" s="29" t="n"/>
      <c r="B519" s="30" t="n"/>
      <c r="C519" s="30" t="n"/>
      <c r="D519" s="31" t="n"/>
      <c r="E519" s="30" t="n"/>
      <c r="F519" s="32">
        <f>IF(AND(ISNUMBER(D519),ISNUMBER(E519)),D519*E519,"")</f>
        <v/>
      </c>
      <c r="G519" s="31" t="n"/>
      <c r="H519" s="32">
        <f>IF(C519="SELL",F519-SUMIFS($F$2:$F$1000,$B$2:$B$1000,B519,$C$2:$C$1000,"&lt;&gt;SELL",$A$2:$A$1000,"&gt;"&amp;_xlfn.MAXIFS($A$2:$A$1000,$B$2:$B$1000,B519,$C$2:$C$1000,"SELL",$A$2:$A$1000,"&lt;"&amp;A519),$A$2:$A$1000,"&lt;="&amp;A519),"")</f>
        <v/>
      </c>
    </row>
    <row r="520">
      <c r="A520" s="29" t="n"/>
      <c r="B520" s="30" t="n"/>
      <c r="C520" s="30" t="n"/>
      <c r="D520" s="31" t="n"/>
      <c r="E520" s="30" t="n"/>
      <c r="F520" s="32">
        <f>IF(AND(ISNUMBER(D520),ISNUMBER(E520)),D520*E520,"")</f>
        <v/>
      </c>
      <c r="G520" s="31" t="n"/>
      <c r="H520" s="32">
        <f>IF(C520="SELL",F520-SUMIFS($F$2:$F$1000,$B$2:$B$1000,B520,$C$2:$C$1000,"&lt;&gt;SELL",$A$2:$A$1000,"&gt;"&amp;_xlfn.MAXIFS($A$2:$A$1000,$B$2:$B$1000,B520,$C$2:$C$1000,"SELL",$A$2:$A$1000,"&lt;"&amp;A520),$A$2:$A$1000,"&lt;="&amp;A520),"")</f>
        <v/>
      </c>
    </row>
    <row r="521">
      <c r="A521" s="29" t="n"/>
      <c r="B521" s="30" t="n"/>
      <c r="C521" s="30" t="n"/>
      <c r="D521" s="31" t="n"/>
      <c r="E521" s="30" t="n"/>
      <c r="F521" s="32">
        <f>IF(AND(ISNUMBER(D521),ISNUMBER(E521)),D521*E521,"")</f>
        <v/>
      </c>
      <c r="G521" s="31" t="n"/>
      <c r="H521" s="32">
        <f>IF(C521="SELL",F521-SUMIFS($F$2:$F$1000,$B$2:$B$1000,B521,$C$2:$C$1000,"&lt;&gt;SELL",$A$2:$A$1000,"&gt;"&amp;_xlfn.MAXIFS($A$2:$A$1000,$B$2:$B$1000,B521,$C$2:$C$1000,"SELL",$A$2:$A$1000,"&lt;"&amp;A521),$A$2:$A$1000,"&lt;="&amp;A521),"")</f>
        <v/>
      </c>
    </row>
    <row r="522">
      <c r="A522" s="29" t="n"/>
      <c r="B522" s="30" t="n"/>
      <c r="C522" s="30" t="n"/>
      <c r="D522" s="31" t="n"/>
      <c r="E522" s="30" t="n"/>
      <c r="F522" s="32">
        <f>IF(AND(ISNUMBER(D522),ISNUMBER(E522)),D522*E522,"")</f>
        <v/>
      </c>
      <c r="G522" s="31" t="n"/>
      <c r="H522" s="32">
        <f>IF(C522="SELL",F522-SUMIFS($F$2:$F$1000,$B$2:$B$1000,B522,$C$2:$C$1000,"&lt;&gt;SELL",$A$2:$A$1000,"&gt;"&amp;_xlfn.MAXIFS($A$2:$A$1000,$B$2:$B$1000,B522,$C$2:$C$1000,"SELL",$A$2:$A$1000,"&lt;"&amp;A522),$A$2:$A$1000,"&lt;="&amp;A522),"")</f>
        <v/>
      </c>
    </row>
    <row r="523">
      <c r="A523" s="29" t="n"/>
      <c r="B523" s="30" t="n"/>
      <c r="C523" s="30" t="n"/>
      <c r="D523" s="31" t="n"/>
      <c r="E523" s="30" t="n"/>
      <c r="F523" s="32">
        <f>IF(AND(ISNUMBER(D523),ISNUMBER(E523)),D523*E523,"")</f>
        <v/>
      </c>
      <c r="G523" s="31" t="n"/>
      <c r="H523" s="32">
        <f>IF(C523="SELL",F523-SUMIFS($F$2:$F$1000,$B$2:$B$1000,B523,$C$2:$C$1000,"&lt;&gt;SELL",$A$2:$A$1000,"&gt;"&amp;_xlfn.MAXIFS($A$2:$A$1000,$B$2:$B$1000,B523,$C$2:$C$1000,"SELL",$A$2:$A$1000,"&lt;"&amp;A523),$A$2:$A$1000,"&lt;="&amp;A523),"")</f>
        <v/>
      </c>
    </row>
    <row r="524">
      <c r="A524" s="29" t="n"/>
      <c r="B524" s="30" t="n"/>
      <c r="C524" s="30" t="n"/>
      <c r="D524" s="31" t="n"/>
      <c r="E524" s="30" t="n"/>
      <c r="F524" s="32">
        <f>IF(AND(ISNUMBER(D524),ISNUMBER(E524)),D524*E524,"")</f>
        <v/>
      </c>
      <c r="G524" s="31" t="n"/>
      <c r="H524" s="32">
        <f>IF(C524="SELL",F524-SUMIFS($F$2:$F$1000,$B$2:$B$1000,B524,$C$2:$C$1000,"&lt;&gt;SELL",$A$2:$A$1000,"&gt;"&amp;_xlfn.MAXIFS($A$2:$A$1000,$B$2:$B$1000,B524,$C$2:$C$1000,"SELL",$A$2:$A$1000,"&lt;"&amp;A524),$A$2:$A$1000,"&lt;="&amp;A524),"")</f>
        <v/>
      </c>
    </row>
    <row r="525">
      <c r="A525" s="29" t="n"/>
      <c r="B525" s="30" t="n"/>
      <c r="C525" s="30" t="n"/>
      <c r="D525" s="31" t="n"/>
      <c r="E525" s="30" t="n"/>
      <c r="F525" s="32">
        <f>IF(AND(ISNUMBER(D525),ISNUMBER(E525)),D525*E525,"")</f>
        <v/>
      </c>
      <c r="G525" s="31" t="n"/>
      <c r="H525" s="32">
        <f>IF(C525="SELL",F525-SUMIFS($F$2:$F$1000,$B$2:$B$1000,B525,$C$2:$C$1000,"&lt;&gt;SELL",$A$2:$A$1000,"&gt;"&amp;_xlfn.MAXIFS($A$2:$A$1000,$B$2:$B$1000,B525,$C$2:$C$1000,"SELL",$A$2:$A$1000,"&lt;"&amp;A525),$A$2:$A$1000,"&lt;="&amp;A525),"")</f>
        <v/>
      </c>
    </row>
    <row r="526">
      <c r="A526" s="29" t="n"/>
      <c r="B526" s="30" t="n"/>
      <c r="C526" s="30" t="n"/>
      <c r="D526" s="31" t="n"/>
      <c r="E526" s="30" t="n"/>
      <c r="F526" s="32">
        <f>IF(AND(ISNUMBER(D526),ISNUMBER(E526)),D526*E526,"")</f>
        <v/>
      </c>
      <c r="G526" s="31" t="n"/>
      <c r="H526" s="32">
        <f>IF(C526="SELL",F526-SUMIFS($F$2:$F$1000,$B$2:$B$1000,B526,$C$2:$C$1000,"&lt;&gt;SELL",$A$2:$A$1000,"&gt;"&amp;_xlfn.MAXIFS($A$2:$A$1000,$B$2:$B$1000,B526,$C$2:$C$1000,"SELL",$A$2:$A$1000,"&lt;"&amp;A526),$A$2:$A$1000,"&lt;="&amp;A526),"")</f>
        <v/>
      </c>
    </row>
    <row r="527">
      <c r="A527" s="29" t="n"/>
      <c r="B527" s="30" t="n"/>
      <c r="C527" s="30" t="n"/>
      <c r="D527" s="31" t="n"/>
      <c r="E527" s="30" t="n"/>
      <c r="F527" s="32">
        <f>IF(AND(ISNUMBER(D527),ISNUMBER(E527)),D527*E527,"")</f>
        <v/>
      </c>
      <c r="G527" s="31" t="n"/>
      <c r="H527" s="32">
        <f>IF(C527="SELL",F527-SUMIFS($F$2:$F$1000,$B$2:$B$1000,B527,$C$2:$C$1000,"&lt;&gt;SELL",$A$2:$A$1000,"&gt;"&amp;_xlfn.MAXIFS($A$2:$A$1000,$B$2:$B$1000,B527,$C$2:$C$1000,"SELL",$A$2:$A$1000,"&lt;"&amp;A527),$A$2:$A$1000,"&lt;="&amp;A527),"")</f>
        <v/>
      </c>
    </row>
    <row r="528">
      <c r="A528" s="29" t="n"/>
      <c r="B528" s="30" t="n"/>
      <c r="C528" s="30" t="n"/>
      <c r="D528" s="31" t="n"/>
      <c r="E528" s="30" t="n"/>
      <c r="F528" s="32">
        <f>IF(AND(ISNUMBER(D528),ISNUMBER(E528)),D528*E528,"")</f>
        <v/>
      </c>
      <c r="G528" s="31" t="n"/>
      <c r="H528" s="32">
        <f>IF(C528="SELL",F528-SUMIFS($F$2:$F$1000,$B$2:$B$1000,B528,$C$2:$C$1000,"&lt;&gt;SELL",$A$2:$A$1000,"&gt;"&amp;_xlfn.MAXIFS($A$2:$A$1000,$B$2:$B$1000,B528,$C$2:$C$1000,"SELL",$A$2:$A$1000,"&lt;"&amp;A528),$A$2:$A$1000,"&lt;="&amp;A528),"")</f>
        <v/>
      </c>
    </row>
    <row r="529">
      <c r="A529" s="29" t="n"/>
      <c r="B529" s="30" t="n"/>
      <c r="C529" s="30" t="n"/>
      <c r="D529" s="31" t="n"/>
      <c r="E529" s="30" t="n"/>
      <c r="F529" s="32">
        <f>IF(AND(ISNUMBER(D529),ISNUMBER(E529)),D529*E529,"")</f>
        <v/>
      </c>
      <c r="G529" s="31" t="n"/>
      <c r="H529" s="32">
        <f>IF(C529="SELL",F529-SUMIFS($F$2:$F$1000,$B$2:$B$1000,B529,$C$2:$C$1000,"&lt;&gt;SELL",$A$2:$A$1000,"&gt;"&amp;_xlfn.MAXIFS($A$2:$A$1000,$B$2:$B$1000,B529,$C$2:$C$1000,"SELL",$A$2:$A$1000,"&lt;"&amp;A529),$A$2:$A$1000,"&lt;="&amp;A529),"")</f>
        <v/>
      </c>
    </row>
    <row r="530">
      <c r="A530" s="29" t="n"/>
      <c r="B530" s="30" t="n"/>
      <c r="C530" s="30" t="n"/>
      <c r="D530" s="31" t="n"/>
      <c r="E530" s="30" t="n"/>
      <c r="F530" s="32">
        <f>IF(AND(ISNUMBER(D530),ISNUMBER(E530)),D530*E530,"")</f>
        <v/>
      </c>
      <c r="G530" s="31" t="n"/>
      <c r="H530" s="32">
        <f>IF(C530="SELL",F530-SUMIFS($F$2:$F$1000,$B$2:$B$1000,B530,$C$2:$C$1000,"&lt;&gt;SELL",$A$2:$A$1000,"&gt;"&amp;_xlfn.MAXIFS($A$2:$A$1000,$B$2:$B$1000,B530,$C$2:$C$1000,"SELL",$A$2:$A$1000,"&lt;"&amp;A530),$A$2:$A$1000,"&lt;="&amp;A530),"")</f>
        <v/>
      </c>
    </row>
    <row r="531">
      <c r="A531" s="29" t="n"/>
      <c r="B531" s="30" t="n"/>
      <c r="C531" s="30" t="n"/>
      <c r="D531" s="31" t="n"/>
      <c r="E531" s="30" t="n"/>
      <c r="F531" s="32">
        <f>IF(AND(ISNUMBER(D531),ISNUMBER(E531)),D531*E531,"")</f>
        <v/>
      </c>
      <c r="G531" s="31" t="n"/>
      <c r="H531" s="32">
        <f>IF(C531="SELL",F531-SUMIFS($F$2:$F$1000,$B$2:$B$1000,B531,$C$2:$C$1000,"&lt;&gt;SELL",$A$2:$A$1000,"&gt;"&amp;_xlfn.MAXIFS($A$2:$A$1000,$B$2:$B$1000,B531,$C$2:$C$1000,"SELL",$A$2:$A$1000,"&lt;"&amp;A531),$A$2:$A$1000,"&lt;="&amp;A531),"")</f>
        <v/>
      </c>
    </row>
    <row r="532">
      <c r="A532" s="29" t="n"/>
      <c r="B532" s="30" t="n"/>
      <c r="C532" s="30" t="n"/>
      <c r="D532" s="31" t="n"/>
      <c r="E532" s="30" t="n"/>
      <c r="F532" s="32">
        <f>IF(AND(ISNUMBER(D532),ISNUMBER(E532)),D532*E532,"")</f>
        <v/>
      </c>
      <c r="G532" s="31" t="n"/>
      <c r="H532" s="32">
        <f>IF(C532="SELL",F532-SUMIFS($F$2:$F$1000,$B$2:$B$1000,B532,$C$2:$C$1000,"&lt;&gt;SELL",$A$2:$A$1000,"&gt;"&amp;_xlfn.MAXIFS($A$2:$A$1000,$B$2:$B$1000,B532,$C$2:$C$1000,"SELL",$A$2:$A$1000,"&lt;"&amp;A532),$A$2:$A$1000,"&lt;="&amp;A532),"")</f>
        <v/>
      </c>
    </row>
    <row r="533">
      <c r="A533" s="29" t="n"/>
      <c r="B533" s="30" t="n"/>
      <c r="C533" s="30" t="n"/>
      <c r="D533" s="31" t="n"/>
      <c r="E533" s="30" t="n"/>
      <c r="F533" s="32">
        <f>IF(AND(ISNUMBER(D533),ISNUMBER(E533)),D533*E533,"")</f>
        <v/>
      </c>
      <c r="G533" s="31" t="n"/>
      <c r="H533" s="32">
        <f>IF(C533="SELL",F533-SUMIFS($F$2:$F$1000,$B$2:$B$1000,B533,$C$2:$C$1000,"&lt;&gt;SELL",$A$2:$A$1000,"&gt;"&amp;_xlfn.MAXIFS($A$2:$A$1000,$B$2:$B$1000,B533,$C$2:$C$1000,"SELL",$A$2:$A$1000,"&lt;"&amp;A533),$A$2:$A$1000,"&lt;="&amp;A533),"")</f>
        <v/>
      </c>
    </row>
    <row r="534">
      <c r="A534" s="29" t="n"/>
      <c r="B534" s="30" t="n"/>
      <c r="C534" s="30" t="n"/>
      <c r="D534" s="31" t="n"/>
      <c r="E534" s="30" t="n"/>
      <c r="F534" s="32">
        <f>IF(AND(ISNUMBER(D534),ISNUMBER(E534)),D534*E534,"")</f>
        <v/>
      </c>
      <c r="G534" s="31" t="n"/>
      <c r="H534" s="32">
        <f>IF(C534="SELL",F534-SUMIFS($F$2:$F$1000,$B$2:$B$1000,B534,$C$2:$C$1000,"&lt;&gt;SELL",$A$2:$A$1000,"&gt;"&amp;_xlfn.MAXIFS($A$2:$A$1000,$B$2:$B$1000,B534,$C$2:$C$1000,"SELL",$A$2:$A$1000,"&lt;"&amp;A534),$A$2:$A$1000,"&lt;="&amp;A534),"")</f>
        <v/>
      </c>
    </row>
    <row r="535">
      <c r="A535" s="29" t="n"/>
      <c r="B535" s="30" t="n"/>
      <c r="C535" s="30" t="n"/>
      <c r="D535" s="31" t="n"/>
      <c r="E535" s="30" t="n"/>
      <c r="F535" s="32">
        <f>IF(AND(ISNUMBER(D535),ISNUMBER(E535)),D535*E535,"")</f>
        <v/>
      </c>
      <c r="G535" s="31" t="n"/>
      <c r="H535" s="32">
        <f>IF(C535="SELL",F535-SUMIFS($F$2:$F$1000,$B$2:$B$1000,B535,$C$2:$C$1000,"&lt;&gt;SELL",$A$2:$A$1000,"&gt;"&amp;_xlfn.MAXIFS($A$2:$A$1000,$B$2:$B$1000,B535,$C$2:$C$1000,"SELL",$A$2:$A$1000,"&lt;"&amp;A535),$A$2:$A$1000,"&lt;="&amp;A535),"")</f>
        <v/>
      </c>
    </row>
    <row r="536">
      <c r="A536" s="29" t="n"/>
      <c r="B536" s="30" t="n"/>
      <c r="C536" s="30" t="n"/>
      <c r="D536" s="31" t="n"/>
      <c r="E536" s="30" t="n"/>
      <c r="F536" s="32">
        <f>IF(AND(ISNUMBER(D536),ISNUMBER(E536)),D536*E536,"")</f>
        <v/>
      </c>
      <c r="G536" s="31" t="n"/>
      <c r="H536" s="32">
        <f>IF(C536="SELL",F536-SUMIFS($F$2:$F$1000,$B$2:$B$1000,B536,$C$2:$C$1000,"&lt;&gt;SELL",$A$2:$A$1000,"&gt;"&amp;_xlfn.MAXIFS($A$2:$A$1000,$B$2:$B$1000,B536,$C$2:$C$1000,"SELL",$A$2:$A$1000,"&lt;"&amp;A536),$A$2:$A$1000,"&lt;="&amp;A536),"")</f>
        <v/>
      </c>
    </row>
    <row r="537">
      <c r="A537" s="29" t="n"/>
      <c r="B537" s="30" t="n"/>
      <c r="C537" s="30" t="n"/>
      <c r="D537" s="31" t="n"/>
      <c r="E537" s="30" t="n"/>
      <c r="F537" s="32">
        <f>IF(AND(ISNUMBER(D537),ISNUMBER(E537)),D537*E537,"")</f>
        <v/>
      </c>
      <c r="G537" s="31" t="n"/>
      <c r="H537" s="32">
        <f>IF(C537="SELL",F537-SUMIFS($F$2:$F$1000,$B$2:$B$1000,B537,$C$2:$C$1000,"&lt;&gt;SELL",$A$2:$A$1000,"&gt;"&amp;_xlfn.MAXIFS($A$2:$A$1000,$B$2:$B$1000,B537,$C$2:$C$1000,"SELL",$A$2:$A$1000,"&lt;"&amp;A537),$A$2:$A$1000,"&lt;="&amp;A537),"")</f>
        <v/>
      </c>
    </row>
    <row r="538">
      <c r="A538" s="29" t="n"/>
      <c r="B538" s="30" t="n"/>
      <c r="C538" s="30" t="n"/>
      <c r="D538" s="31" t="n"/>
      <c r="E538" s="30" t="n"/>
      <c r="F538" s="32">
        <f>IF(AND(ISNUMBER(D538),ISNUMBER(E538)),D538*E538,"")</f>
        <v/>
      </c>
      <c r="G538" s="31" t="n"/>
      <c r="H538" s="32">
        <f>IF(C538="SELL",F538-SUMIFS($F$2:$F$1000,$B$2:$B$1000,B538,$C$2:$C$1000,"&lt;&gt;SELL",$A$2:$A$1000,"&gt;"&amp;_xlfn.MAXIFS($A$2:$A$1000,$B$2:$B$1000,B538,$C$2:$C$1000,"SELL",$A$2:$A$1000,"&lt;"&amp;A538),$A$2:$A$1000,"&lt;="&amp;A538),"")</f>
        <v/>
      </c>
    </row>
    <row r="539">
      <c r="A539" s="29" t="n"/>
      <c r="B539" s="30" t="n"/>
      <c r="C539" s="30" t="n"/>
      <c r="D539" s="31" t="n"/>
      <c r="E539" s="30" t="n"/>
      <c r="F539" s="32">
        <f>IF(AND(ISNUMBER(D539),ISNUMBER(E539)),D539*E539,"")</f>
        <v/>
      </c>
      <c r="G539" s="31" t="n"/>
      <c r="H539" s="32">
        <f>IF(C539="SELL",F539-SUMIFS($F$2:$F$1000,$B$2:$B$1000,B539,$C$2:$C$1000,"&lt;&gt;SELL",$A$2:$A$1000,"&gt;"&amp;_xlfn.MAXIFS($A$2:$A$1000,$B$2:$B$1000,B539,$C$2:$C$1000,"SELL",$A$2:$A$1000,"&lt;"&amp;A539),$A$2:$A$1000,"&lt;="&amp;A539),"")</f>
        <v/>
      </c>
    </row>
    <row r="540">
      <c r="A540" s="29" t="n"/>
      <c r="B540" s="30" t="n"/>
      <c r="C540" s="30" t="n"/>
      <c r="D540" s="31" t="n"/>
      <c r="E540" s="30" t="n"/>
      <c r="F540" s="32">
        <f>IF(AND(ISNUMBER(D540),ISNUMBER(E540)),D540*E540,"")</f>
        <v/>
      </c>
      <c r="G540" s="31" t="n"/>
      <c r="H540" s="32">
        <f>IF(C540="SELL",F540-SUMIFS($F$2:$F$1000,$B$2:$B$1000,B540,$C$2:$C$1000,"&lt;&gt;SELL",$A$2:$A$1000,"&gt;"&amp;_xlfn.MAXIFS($A$2:$A$1000,$B$2:$B$1000,B540,$C$2:$C$1000,"SELL",$A$2:$A$1000,"&lt;"&amp;A540),$A$2:$A$1000,"&lt;="&amp;A540),"")</f>
        <v/>
      </c>
    </row>
    <row r="541">
      <c r="A541" s="29" t="n"/>
      <c r="B541" s="30" t="n"/>
      <c r="C541" s="30" t="n"/>
      <c r="D541" s="31" t="n"/>
      <c r="E541" s="30" t="n"/>
      <c r="F541" s="32">
        <f>IF(AND(ISNUMBER(D541),ISNUMBER(E541)),D541*E541,"")</f>
        <v/>
      </c>
      <c r="G541" s="31" t="n"/>
      <c r="H541" s="32">
        <f>IF(C541="SELL",F541-SUMIFS($F$2:$F$1000,$B$2:$B$1000,B541,$C$2:$C$1000,"&lt;&gt;SELL",$A$2:$A$1000,"&gt;"&amp;_xlfn.MAXIFS($A$2:$A$1000,$B$2:$B$1000,B541,$C$2:$C$1000,"SELL",$A$2:$A$1000,"&lt;"&amp;A541),$A$2:$A$1000,"&lt;="&amp;A541),"")</f>
        <v/>
      </c>
    </row>
    <row r="542">
      <c r="A542" s="29" t="n"/>
      <c r="B542" s="30" t="n"/>
      <c r="C542" s="30" t="n"/>
      <c r="D542" s="31" t="n"/>
      <c r="E542" s="30" t="n"/>
      <c r="F542" s="32">
        <f>IF(AND(ISNUMBER(D542),ISNUMBER(E542)),D542*E542,"")</f>
        <v/>
      </c>
      <c r="G542" s="31" t="n"/>
      <c r="H542" s="32">
        <f>IF(C542="SELL",F542-SUMIFS($F$2:$F$1000,$B$2:$B$1000,B542,$C$2:$C$1000,"&lt;&gt;SELL",$A$2:$A$1000,"&gt;"&amp;_xlfn.MAXIFS($A$2:$A$1000,$B$2:$B$1000,B542,$C$2:$C$1000,"SELL",$A$2:$A$1000,"&lt;"&amp;A542),$A$2:$A$1000,"&lt;="&amp;A542),"")</f>
        <v/>
      </c>
    </row>
    <row r="543">
      <c r="A543" s="29" t="n"/>
      <c r="B543" s="30" t="n"/>
      <c r="C543" s="30" t="n"/>
      <c r="D543" s="31" t="n"/>
      <c r="E543" s="30" t="n"/>
      <c r="F543" s="32">
        <f>IF(AND(ISNUMBER(D543),ISNUMBER(E543)),D543*E543,"")</f>
        <v/>
      </c>
      <c r="G543" s="31" t="n"/>
      <c r="H543" s="32">
        <f>IF(C543="SELL",F543-SUMIFS($F$2:$F$1000,$B$2:$B$1000,B543,$C$2:$C$1000,"&lt;&gt;SELL",$A$2:$A$1000,"&gt;"&amp;_xlfn.MAXIFS($A$2:$A$1000,$B$2:$B$1000,B543,$C$2:$C$1000,"SELL",$A$2:$A$1000,"&lt;"&amp;A543),$A$2:$A$1000,"&lt;="&amp;A543),"")</f>
        <v/>
      </c>
    </row>
    <row r="544">
      <c r="A544" s="29" t="n"/>
      <c r="B544" s="30" t="n"/>
      <c r="C544" s="30" t="n"/>
      <c r="D544" s="31" t="n"/>
      <c r="E544" s="30" t="n"/>
      <c r="F544" s="32">
        <f>IF(AND(ISNUMBER(D544),ISNUMBER(E544)),D544*E544,"")</f>
        <v/>
      </c>
      <c r="G544" s="31" t="n"/>
      <c r="H544" s="32">
        <f>IF(C544="SELL",F544-SUMIFS($F$2:$F$1000,$B$2:$B$1000,B544,$C$2:$C$1000,"&lt;&gt;SELL",$A$2:$A$1000,"&gt;"&amp;_xlfn.MAXIFS($A$2:$A$1000,$B$2:$B$1000,B544,$C$2:$C$1000,"SELL",$A$2:$A$1000,"&lt;"&amp;A544),$A$2:$A$1000,"&lt;="&amp;A544),"")</f>
        <v/>
      </c>
    </row>
    <row r="545">
      <c r="A545" s="29" t="n"/>
      <c r="B545" s="30" t="n"/>
      <c r="C545" s="30" t="n"/>
      <c r="D545" s="31" t="n"/>
      <c r="E545" s="30" t="n"/>
      <c r="F545" s="32">
        <f>IF(AND(ISNUMBER(D545),ISNUMBER(E545)),D545*E545,"")</f>
        <v/>
      </c>
      <c r="G545" s="31" t="n"/>
      <c r="H545" s="32">
        <f>IF(C545="SELL",F545-SUMIFS($F$2:$F$1000,$B$2:$B$1000,B545,$C$2:$C$1000,"&lt;&gt;SELL",$A$2:$A$1000,"&gt;"&amp;_xlfn.MAXIFS($A$2:$A$1000,$B$2:$B$1000,B545,$C$2:$C$1000,"SELL",$A$2:$A$1000,"&lt;"&amp;A545),$A$2:$A$1000,"&lt;="&amp;A545),"")</f>
        <v/>
      </c>
    </row>
    <row r="546">
      <c r="A546" s="29" t="n"/>
      <c r="B546" s="30" t="n"/>
      <c r="C546" s="30" t="n"/>
      <c r="D546" s="31" t="n"/>
      <c r="E546" s="30" t="n"/>
      <c r="F546" s="32">
        <f>IF(AND(ISNUMBER(D546),ISNUMBER(E546)),D546*E546,"")</f>
        <v/>
      </c>
      <c r="G546" s="31" t="n"/>
      <c r="H546" s="32">
        <f>IF(C546="SELL",F546-SUMIFS($F$2:$F$1000,$B$2:$B$1000,B546,$C$2:$C$1000,"&lt;&gt;SELL",$A$2:$A$1000,"&gt;"&amp;_xlfn.MAXIFS($A$2:$A$1000,$B$2:$B$1000,B546,$C$2:$C$1000,"SELL",$A$2:$A$1000,"&lt;"&amp;A546),$A$2:$A$1000,"&lt;="&amp;A546),"")</f>
        <v/>
      </c>
    </row>
    <row r="547">
      <c r="A547" s="29" t="n"/>
      <c r="B547" s="30" t="n"/>
      <c r="C547" s="30" t="n"/>
      <c r="D547" s="31" t="n"/>
      <c r="E547" s="30" t="n"/>
      <c r="F547" s="32">
        <f>IF(AND(ISNUMBER(D547),ISNUMBER(E547)),D547*E547,"")</f>
        <v/>
      </c>
      <c r="G547" s="31" t="n"/>
      <c r="H547" s="32">
        <f>IF(C547="SELL",F547-SUMIFS($F$2:$F$1000,$B$2:$B$1000,B547,$C$2:$C$1000,"&lt;&gt;SELL",$A$2:$A$1000,"&gt;"&amp;_xlfn.MAXIFS($A$2:$A$1000,$B$2:$B$1000,B547,$C$2:$C$1000,"SELL",$A$2:$A$1000,"&lt;"&amp;A547),$A$2:$A$1000,"&lt;="&amp;A547),"")</f>
        <v/>
      </c>
    </row>
    <row r="548">
      <c r="A548" s="29" t="n"/>
      <c r="B548" s="30" t="n"/>
      <c r="C548" s="30" t="n"/>
      <c r="D548" s="31" t="n"/>
      <c r="E548" s="30" t="n"/>
      <c r="F548" s="32">
        <f>IF(AND(ISNUMBER(D548),ISNUMBER(E548)),D548*E548,"")</f>
        <v/>
      </c>
      <c r="G548" s="31" t="n"/>
      <c r="H548" s="32">
        <f>IF(C548="SELL",F548-SUMIFS($F$2:$F$1000,$B$2:$B$1000,B548,$C$2:$C$1000,"&lt;&gt;SELL",$A$2:$A$1000,"&gt;"&amp;_xlfn.MAXIFS($A$2:$A$1000,$B$2:$B$1000,B548,$C$2:$C$1000,"SELL",$A$2:$A$1000,"&lt;"&amp;A548),$A$2:$A$1000,"&lt;="&amp;A548),"")</f>
        <v/>
      </c>
    </row>
    <row r="549">
      <c r="A549" s="29" t="n"/>
      <c r="B549" s="30" t="n"/>
      <c r="C549" s="30" t="n"/>
      <c r="D549" s="31" t="n"/>
      <c r="E549" s="30" t="n"/>
      <c r="F549" s="32">
        <f>IF(AND(ISNUMBER(D549),ISNUMBER(E549)),D549*E549,"")</f>
        <v/>
      </c>
      <c r="G549" s="31" t="n"/>
      <c r="H549" s="32">
        <f>IF(C549="SELL",F549-SUMIFS($F$2:$F$1000,$B$2:$B$1000,B549,$C$2:$C$1000,"&lt;&gt;SELL",$A$2:$A$1000,"&gt;"&amp;_xlfn.MAXIFS($A$2:$A$1000,$B$2:$B$1000,B549,$C$2:$C$1000,"SELL",$A$2:$A$1000,"&lt;"&amp;A549),$A$2:$A$1000,"&lt;="&amp;A549),"")</f>
        <v/>
      </c>
    </row>
    <row r="550">
      <c r="A550" s="29" t="n"/>
      <c r="B550" s="30" t="n"/>
      <c r="C550" s="30" t="n"/>
      <c r="D550" s="31" t="n"/>
      <c r="E550" s="30" t="n"/>
      <c r="F550" s="32">
        <f>IF(AND(ISNUMBER(D550),ISNUMBER(E550)),D550*E550,"")</f>
        <v/>
      </c>
      <c r="G550" s="31" t="n"/>
      <c r="H550" s="32">
        <f>IF(C550="SELL",F550-SUMIFS($F$2:$F$1000,$B$2:$B$1000,B550,$C$2:$C$1000,"&lt;&gt;SELL",$A$2:$A$1000,"&gt;"&amp;_xlfn.MAXIFS($A$2:$A$1000,$B$2:$B$1000,B550,$C$2:$C$1000,"SELL",$A$2:$A$1000,"&lt;"&amp;A550),$A$2:$A$1000,"&lt;="&amp;A550),"")</f>
        <v/>
      </c>
    </row>
    <row r="551">
      <c r="A551" s="29" t="n"/>
      <c r="B551" s="30" t="n"/>
      <c r="C551" s="30" t="n"/>
      <c r="D551" s="31" t="n"/>
      <c r="E551" s="30" t="n"/>
      <c r="F551" s="32">
        <f>IF(AND(ISNUMBER(D551),ISNUMBER(E551)),D551*E551,"")</f>
        <v/>
      </c>
      <c r="G551" s="31" t="n"/>
      <c r="H551" s="32">
        <f>IF(C551="SELL",F551-SUMIFS($F$2:$F$1000,$B$2:$B$1000,B551,$C$2:$C$1000,"&lt;&gt;SELL",$A$2:$A$1000,"&gt;"&amp;_xlfn.MAXIFS($A$2:$A$1000,$B$2:$B$1000,B551,$C$2:$C$1000,"SELL",$A$2:$A$1000,"&lt;"&amp;A551),$A$2:$A$1000,"&lt;="&amp;A551),"")</f>
        <v/>
      </c>
    </row>
    <row r="552">
      <c r="A552" s="29" t="n"/>
      <c r="B552" s="30" t="n"/>
      <c r="C552" s="30" t="n"/>
      <c r="D552" s="31" t="n"/>
      <c r="E552" s="30" t="n"/>
      <c r="F552" s="32">
        <f>IF(AND(ISNUMBER(D552),ISNUMBER(E552)),D552*E552,"")</f>
        <v/>
      </c>
      <c r="G552" s="31" t="n"/>
      <c r="H552" s="32">
        <f>IF(C552="SELL",F552-SUMIFS($F$2:$F$1000,$B$2:$B$1000,B552,$C$2:$C$1000,"&lt;&gt;SELL",$A$2:$A$1000,"&gt;"&amp;_xlfn.MAXIFS($A$2:$A$1000,$B$2:$B$1000,B552,$C$2:$C$1000,"SELL",$A$2:$A$1000,"&lt;"&amp;A552),$A$2:$A$1000,"&lt;="&amp;A552),"")</f>
        <v/>
      </c>
    </row>
    <row r="553">
      <c r="A553" s="29" t="n"/>
      <c r="B553" s="30" t="n"/>
      <c r="C553" s="30" t="n"/>
      <c r="D553" s="31" t="n"/>
      <c r="E553" s="30" t="n"/>
      <c r="F553" s="32">
        <f>IF(AND(ISNUMBER(D553),ISNUMBER(E553)),D553*E553,"")</f>
        <v/>
      </c>
      <c r="G553" s="31" t="n"/>
      <c r="H553" s="32">
        <f>IF(C553="SELL",F553-SUMIFS($F$2:$F$1000,$B$2:$B$1000,B553,$C$2:$C$1000,"&lt;&gt;SELL",$A$2:$A$1000,"&gt;"&amp;_xlfn.MAXIFS($A$2:$A$1000,$B$2:$B$1000,B553,$C$2:$C$1000,"SELL",$A$2:$A$1000,"&lt;"&amp;A553),$A$2:$A$1000,"&lt;="&amp;A553),"")</f>
        <v/>
      </c>
    </row>
    <row r="554">
      <c r="A554" s="29" t="n"/>
      <c r="B554" s="30" t="n"/>
      <c r="C554" s="30" t="n"/>
      <c r="D554" s="31" t="n"/>
      <c r="E554" s="30" t="n"/>
      <c r="F554" s="32">
        <f>IF(AND(ISNUMBER(D554),ISNUMBER(E554)),D554*E554,"")</f>
        <v/>
      </c>
      <c r="G554" s="31" t="n"/>
      <c r="H554" s="32">
        <f>IF(C554="SELL",F554-SUMIFS($F$2:$F$1000,$B$2:$B$1000,B554,$C$2:$C$1000,"&lt;&gt;SELL",$A$2:$A$1000,"&gt;"&amp;_xlfn.MAXIFS($A$2:$A$1000,$B$2:$B$1000,B554,$C$2:$C$1000,"SELL",$A$2:$A$1000,"&lt;"&amp;A554),$A$2:$A$1000,"&lt;="&amp;A554),"")</f>
        <v/>
      </c>
    </row>
    <row r="555">
      <c r="A555" s="29" t="n"/>
      <c r="B555" s="30" t="n"/>
      <c r="C555" s="30" t="n"/>
      <c r="D555" s="31" t="n"/>
      <c r="E555" s="30" t="n"/>
      <c r="F555" s="32">
        <f>IF(AND(ISNUMBER(D555),ISNUMBER(E555)),D555*E555,"")</f>
        <v/>
      </c>
      <c r="G555" s="31" t="n"/>
      <c r="H555" s="32">
        <f>IF(C555="SELL",F555-SUMIFS($F$2:$F$1000,$B$2:$B$1000,B555,$C$2:$C$1000,"&lt;&gt;SELL",$A$2:$A$1000,"&gt;"&amp;_xlfn.MAXIFS($A$2:$A$1000,$B$2:$B$1000,B555,$C$2:$C$1000,"SELL",$A$2:$A$1000,"&lt;"&amp;A555),$A$2:$A$1000,"&lt;="&amp;A555),"")</f>
        <v/>
      </c>
    </row>
    <row r="556">
      <c r="A556" s="29" t="n"/>
      <c r="B556" s="30" t="n"/>
      <c r="C556" s="30" t="n"/>
      <c r="D556" s="31" t="n"/>
      <c r="E556" s="30" t="n"/>
      <c r="F556" s="32">
        <f>IF(AND(ISNUMBER(D556),ISNUMBER(E556)),D556*E556,"")</f>
        <v/>
      </c>
      <c r="G556" s="31" t="n"/>
      <c r="H556" s="32">
        <f>IF(C556="SELL",F556-SUMIFS($F$2:$F$1000,$B$2:$B$1000,B556,$C$2:$C$1000,"&lt;&gt;SELL",$A$2:$A$1000,"&gt;"&amp;_xlfn.MAXIFS($A$2:$A$1000,$B$2:$B$1000,B556,$C$2:$C$1000,"SELL",$A$2:$A$1000,"&lt;"&amp;A556),$A$2:$A$1000,"&lt;="&amp;A556),"")</f>
        <v/>
      </c>
    </row>
    <row r="557">
      <c r="A557" s="29" t="n"/>
      <c r="B557" s="30" t="n"/>
      <c r="C557" s="30" t="n"/>
      <c r="D557" s="31" t="n"/>
      <c r="E557" s="30" t="n"/>
      <c r="F557" s="32">
        <f>IF(AND(ISNUMBER(D557),ISNUMBER(E557)),D557*E557,"")</f>
        <v/>
      </c>
      <c r="G557" s="31" t="n"/>
      <c r="H557" s="32">
        <f>IF(C557="SELL",F557-SUMIFS($F$2:$F$1000,$B$2:$B$1000,B557,$C$2:$C$1000,"&lt;&gt;SELL",$A$2:$A$1000,"&gt;"&amp;_xlfn.MAXIFS($A$2:$A$1000,$B$2:$B$1000,B557,$C$2:$C$1000,"SELL",$A$2:$A$1000,"&lt;"&amp;A557),$A$2:$A$1000,"&lt;="&amp;A557),"")</f>
        <v/>
      </c>
    </row>
    <row r="558">
      <c r="A558" s="29" t="n"/>
      <c r="B558" s="30" t="n"/>
      <c r="C558" s="30" t="n"/>
      <c r="D558" s="31" t="n"/>
      <c r="E558" s="30" t="n"/>
      <c r="F558" s="32">
        <f>IF(AND(ISNUMBER(D558),ISNUMBER(E558)),D558*E558,"")</f>
        <v/>
      </c>
      <c r="G558" s="31" t="n"/>
      <c r="H558" s="32">
        <f>IF(C558="SELL",F558-SUMIFS($F$2:$F$1000,$B$2:$B$1000,B558,$C$2:$C$1000,"&lt;&gt;SELL",$A$2:$A$1000,"&gt;"&amp;_xlfn.MAXIFS($A$2:$A$1000,$B$2:$B$1000,B558,$C$2:$C$1000,"SELL",$A$2:$A$1000,"&lt;"&amp;A558),$A$2:$A$1000,"&lt;="&amp;A558),"")</f>
        <v/>
      </c>
    </row>
    <row r="559">
      <c r="A559" s="29" t="n"/>
      <c r="B559" s="30" t="n"/>
      <c r="C559" s="30" t="n"/>
      <c r="D559" s="31" t="n"/>
      <c r="E559" s="30" t="n"/>
      <c r="F559" s="32">
        <f>IF(AND(ISNUMBER(D559),ISNUMBER(E559)),D559*E559,"")</f>
        <v/>
      </c>
      <c r="G559" s="31" t="n"/>
      <c r="H559" s="32">
        <f>IF(C559="SELL",F559-SUMIFS($F$2:$F$1000,$B$2:$B$1000,B559,$C$2:$C$1000,"&lt;&gt;SELL",$A$2:$A$1000,"&gt;"&amp;_xlfn.MAXIFS($A$2:$A$1000,$B$2:$B$1000,B559,$C$2:$C$1000,"SELL",$A$2:$A$1000,"&lt;"&amp;A559),$A$2:$A$1000,"&lt;="&amp;A559),"")</f>
        <v/>
      </c>
    </row>
    <row r="560">
      <c r="A560" s="29" t="n"/>
      <c r="B560" s="30" t="n"/>
      <c r="C560" s="30" t="n"/>
      <c r="D560" s="31" t="n"/>
      <c r="E560" s="30" t="n"/>
      <c r="F560" s="32">
        <f>IF(AND(ISNUMBER(D560),ISNUMBER(E560)),D560*E560,"")</f>
        <v/>
      </c>
      <c r="G560" s="31" t="n"/>
      <c r="H560" s="32">
        <f>IF(C560="SELL",F560-SUMIFS($F$2:$F$1000,$B$2:$B$1000,B560,$C$2:$C$1000,"&lt;&gt;SELL",$A$2:$A$1000,"&gt;"&amp;_xlfn.MAXIFS($A$2:$A$1000,$B$2:$B$1000,B560,$C$2:$C$1000,"SELL",$A$2:$A$1000,"&lt;"&amp;A560),$A$2:$A$1000,"&lt;="&amp;A560),"")</f>
        <v/>
      </c>
    </row>
    <row r="561">
      <c r="A561" s="29" t="n"/>
      <c r="B561" s="30" t="n"/>
      <c r="C561" s="30" t="n"/>
      <c r="D561" s="31" t="n"/>
      <c r="E561" s="30" t="n"/>
      <c r="F561" s="32">
        <f>IF(AND(ISNUMBER(D561),ISNUMBER(E561)),D561*E561,"")</f>
        <v/>
      </c>
      <c r="G561" s="31" t="n"/>
      <c r="H561" s="32">
        <f>IF(C561="SELL",F561-SUMIFS($F$2:$F$1000,$B$2:$B$1000,B561,$C$2:$C$1000,"&lt;&gt;SELL",$A$2:$A$1000,"&gt;"&amp;_xlfn.MAXIFS($A$2:$A$1000,$B$2:$B$1000,B561,$C$2:$C$1000,"SELL",$A$2:$A$1000,"&lt;"&amp;A561),$A$2:$A$1000,"&lt;="&amp;A561),"")</f>
        <v/>
      </c>
    </row>
    <row r="562">
      <c r="A562" s="29" t="n"/>
      <c r="B562" s="30" t="n"/>
      <c r="C562" s="30" t="n"/>
      <c r="D562" s="31" t="n"/>
      <c r="E562" s="30" t="n"/>
      <c r="F562" s="32">
        <f>IF(AND(ISNUMBER(D562),ISNUMBER(E562)),D562*E562,"")</f>
        <v/>
      </c>
      <c r="G562" s="31" t="n"/>
      <c r="H562" s="32">
        <f>IF(C562="SELL",F562-SUMIFS($F$2:$F$1000,$B$2:$B$1000,B562,$C$2:$C$1000,"&lt;&gt;SELL",$A$2:$A$1000,"&gt;"&amp;_xlfn.MAXIFS($A$2:$A$1000,$B$2:$B$1000,B562,$C$2:$C$1000,"SELL",$A$2:$A$1000,"&lt;"&amp;A562),$A$2:$A$1000,"&lt;="&amp;A562),"")</f>
        <v/>
      </c>
    </row>
    <row r="563">
      <c r="A563" s="29" t="n"/>
      <c r="B563" s="30" t="n"/>
      <c r="C563" s="30" t="n"/>
      <c r="D563" s="31" t="n"/>
      <c r="E563" s="30" t="n"/>
      <c r="F563" s="32">
        <f>IF(AND(ISNUMBER(D563),ISNUMBER(E563)),D563*E563,"")</f>
        <v/>
      </c>
      <c r="G563" s="31" t="n"/>
      <c r="H563" s="32">
        <f>IF(C563="SELL",F563-SUMIFS($F$2:$F$1000,$B$2:$B$1000,B563,$C$2:$C$1000,"&lt;&gt;SELL",$A$2:$A$1000,"&gt;"&amp;_xlfn.MAXIFS($A$2:$A$1000,$B$2:$B$1000,B563,$C$2:$C$1000,"SELL",$A$2:$A$1000,"&lt;"&amp;A563),$A$2:$A$1000,"&lt;="&amp;A563),"")</f>
        <v/>
      </c>
    </row>
    <row r="564">
      <c r="A564" s="29" t="n"/>
      <c r="B564" s="30" t="n"/>
      <c r="C564" s="30" t="n"/>
      <c r="D564" s="31" t="n"/>
      <c r="E564" s="30" t="n"/>
      <c r="F564" s="32">
        <f>IF(AND(ISNUMBER(D564),ISNUMBER(E564)),D564*E564,"")</f>
        <v/>
      </c>
      <c r="G564" s="31" t="n"/>
      <c r="H564" s="32">
        <f>IF(C564="SELL",F564-SUMIFS($F$2:$F$1000,$B$2:$B$1000,B564,$C$2:$C$1000,"&lt;&gt;SELL",$A$2:$A$1000,"&gt;"&amp;_xlfn.MAXIFS($A$2:$A$1000,$B$2:$B$1000,B564,$C$2:$C$1000,"SELL",$A$2:$A$1000,"&lt;"&amp;A564),$A$2:$A$1000,"&lt;="&amp;A564),"")</f>
        <v/>
      </c>
    </row>
    <row r="565">
      <c r="A565" s="29" t="n"/>
      <c r="B565" s="30" t="n"/>
      <c r="C565" s="30" t="n"/>
      <c r="D565" s="31" t="n"/>
      <c r="E565" s="30" t="n"/>
      <c r="F565" s="32">
        <f>IF(AND(ISNUMBER(D565),ISNUMBER(E565)),D565*E565,"")</f>
        <v/>
      </c>
      <c r="G565" s="31" t="n"/>
      <c r="H565" s="32">
        <f>IF(C565="SELL",F565-SUMIFS($F$2:$F$1000,$B$2:$B$1000,B565,$C$2:$C$1000,"&lt;&gt;SELL",$A$2:$A$1000,"&gt;"&amp;_xlfn.MAXIFS($A$2:$A$1000,$B$2:$B$1000,B565,$C$2:$C$1000,"SELL",$A$2:$A$1000,"&lt;"&amp;A565),$A$2:$A$1000,"&lt;="&amp;A565),"")</f>
        <v/>
      </c>
    </row>
    <row r="566">
      <c r="A566" s="29" t="n"/>
      <c r="B566" s="30" t="n"/>
      <c r="C566" s="30" t="n"/>
      <c r="D566" s="31" t="n"/>
      <c r="E566" s="30" t="n"/>
      <c r="F566" s="32">
        <f>IF(AND(ISNUMBER(D566),ISNUMBER(E566)),D566*E566,"")</f>
        <v/>
      </c>
      <c r="G566" s="31" t="n"/>
      <c r="H566" s="32">
        <f>IF(C566="SELL",F566-SUMIFS($F$2:$F$1000,$B$2:$B$1000,B566,$C$2:$C$1000,"&lt;&gt;SELL",$A$2:$A$1000,"&gt;"&amp;_xlfn.MAXIFS($A$2:$A$1000,$B$2:$B$1000,B566,$C$2:$C$1000,"SELL",$A$2:$A$1000,"&lt;"&amp;A566),$A$2:$A$1000,"&lt;="&amp;A566),"")</f>
        <v/>
      </c>
    </row>
    <row r="567">
      <c r="A567" s="29" t="n"/>
      <c r="B567" s="30" t="n"/>
      <c r="C567" s="30" t="n"/>
      <c r="D567" s="31" t="n"/>
      <c r="E567" s="30" t="n"/>
      <c r="F567" s="32">
        <f>IF(AND(ISNUMBER(D567),ISNUMBER(E567)),D567*E567,"")</f>
        <v/>
      </c>
      <c r="G567" s="31" t="n"/>
      <c r="H567" s="32">
        <f>IF(C567="SELL",F567-SUMIFS($F$2:$F$1000,$B$2:$B$1000,B567,$C$2:$C$1000,"&lt;&gt;SELL",$A$2:$A$1000,"&gt;"&amp;_xlfn.MAXIFS($A$2:$A$1000,$B$2:$B$1000,B567,$C$2:$C$1000,"SELL",$A$2:$A$1000,"&lt;"&amp;A567),$A$2:$A$1000,"&lt;="&amp;A567),"")</f>
        <v/>
      </c>
    </row>
    <row r="568">
      <c r="A568" s="29" t="n"/>
      <c r="B568" s="30" t="n"/>
      <c r="C568" s="30" t="n"/>
      <c r="D568" s="31" t="n"/>
      <c r="E568" s="30" t="n"/>
      <c r="F568" s="32">
        <f>IF(AND(ISNUMBER(D568),ISNUMBER(E568)),D568*E568,"")</f>
        <v/>
      </c>
      <c r="G568" s="31" t="n"/>
      <c r="H568" s="32">
        <f>IF(C568="SELL",F568-SUMIFS($F$2:$F$1000,$B$2:$B$1000,B568,$C$2:$C$1000,"&lt;&gt;SELL",$A$2:$A$1000,"&gt;"&amp;_xlfn.MAXIFS($A$2:$A$1000,$B$2:$B$1000,B568,$C$2:$C$1000,"SELL",$A$2:$A$1000,"&lt;"&amp;A568),$A$2:$A$1000,"&lt;="&amp;A568),"")</f>
        <v/>
      </c>
    </row>
    <row r="569">
      <c r="A569" s="29" t="n"/>
      <c r="B569" s="30" t="n"/>
      <c r="C569" s="30" t="n"/>
      <c r="D569" s="31" t="n"/>
      <c r="E569" s="30" t="n"/>
      <c r="F569" s="32">
        <f>IF(AND(ISNUMBER(D569),ISNUMBER(E569)),D569*E569,"")</f>
        <v/>
      </c>
      <c r="G569" s="31" t="n"/>
      <c r="H569" s="32">
        <f>IF(C569="SELL",F569-SUMIFS($F$2:$F$1000,$B$2:$B$1000,B569,$C$2:$C$1000,"&lt;&gt;SELL",$A$2:$A$1000,"&gt;"&amp;_xlfn.MAXIFS($A$2:$A$1000,$B$2:$B$1000,B569,$C$2:$C$1000,"SELL",$A$2:$A$1000,"&lt;"&amp;A569),$A$2:$A$1000,"&lt;="&amp;A569),"")</f>
        <v/>
      </c>
    </row>
    <row r="570">
      <c r="A570" s="29" t="n"/>
      <c r="B570" s="30" t="n"/>
      <c r="C570" s="30" t="n"/>
      <c r="D570" s="31" t="n"/>
      <c r="E570" s="30" t="n"/>
      <c r="F570" s="32">
        <f>IF(AND(ISNUMBER(D570),ISNUMBER(E570)),D570*E570,"")</f>
        <v/>
      </c>
      <c r="G570" s="31" t="n"/>
      <c r="H570" s="32">
        <f>IF(C570="SELL",F570-SUMIFS($F$2:$F$1000,$B$2:$B$1000,B570,$C$2:$C$1000,"&lt;&gt;SELL",$A$2:$A$1000,"&gt;"&amp;_xlfn.MAXIFS($A$2:$A$1000,$B$2:$B$1000,B570,$C$2:$C$1000,"SELL",$A$2:$A$1000,"&lt;"&amp;A570),$A$2:$A$1000,"&lt;="&amp;A570),"")</f>
        <v/>
      </c>
    </row>
    <row r="571">
      <c r="A571" s="29" t="n"/>
      <c r="B571" s="30" t="n"/>
      <c r="C571" s="30" t="n"/>
      <c r="D571" s="31" t="n"/>
      <c r="E571" s="30" t="n"/>
      <c r="F571" s="32">
        <f>IF(AND(ISNUMBER(D571),ISNUMBER(E571)),D571*E571,"")</f>
        <v/>
      </c>
      <c r="G571" s="31" t="n"/>
      <c r="H571" s="32">
        <f>IF(C571="SELL",F571-SUMIFS($F$2:$F$1000,$B$2:$B$1000,B571,$C$2:$C$1000,"&lt;&gt;SELL",$A$2:$A$1000,"&gt;"&amp;_xlfn.MAXIFS($A$2:$A$1000,$B$2:$B$1000,B571,$C$2:$C$1000,"SELL",$A$2:$A$1000,"&lt;"&amp;A571),$A$2:$A$1000,"&lt;="&amp;A571),"")</f>
        <v/>
      </c>
    </row>
    <row r="572">
      <c r="A572" s="29" t="n"/>
      <c r="B572" s="30" t="n"/>
      <c r="C572" s="30" t="n"/>
      <c r="D572" s="31" t="n"/>
      <c r="E572" s="30" t="n"/>
      <c r="F572" s="32">
        <f>IF(AND(ISNUMBER(D572),ISNUMBER(E572)),D572*E572,"")</f>
        <v/>
      </c>
      <c r="G572" s="31" t="n"/>
      <c r="H572" s="32">
        <f>IF(C572="SELL",F572-SUMIFS($F$2:$F$1000,$B$2:$B$1000,B572,$C$2:$C$1000,"&lt;&gt;SELL",$A$2:$A$1000,"&gt;"&amp;_xlfn.MAXIFS($A$2:$A$1000,$B$2:$B$1000,B572,$C$2:$C$1000,"SELL",$A$2:$A$1000,"&lt;"&amp;A572),$A$2:$A$1000,"&lt;="&amp;A572),"")</f>
        <v/>
      </c>
    </row>
    <row r="573">
      <c r="A573" s="29" t="n"/>
      <c r="B573" s="30" t="n"/>
      <c r="C573" s="30" t="n"/>
      <c r="D573" s="31" t="n"/>
      <c r="E573" s="30" t="n"/>
      <c r="F573" s="32">
        <f>IF(AND(ISNUMBER(D573),ISNUMBER(E573)),D573*E573,"")</f>
        <v/>
      </c>
      <c r="G573" s="31" t="n"/>
      <c r="H573" s="32">
        <f>IF(C573="SELL",F573-SUMIFS($F$2:$F$1000,$B$2:$B$1000,B573,$C$2:$C$1000,"&lt;&gt;SELL",$A$2:$A$1000,"&gt;"&amp;_xlfn.MAXIFS($A$2:$A$1000,$B$2:$B$1000,B573,$C$2:$C$1000,"SELL",$A$2:$A$1000,"&lt;"&amp;A573),$A$2:$A$1000,"&lt;="&amp;A573),"")</f>
        <v/>
      </c>
    </row>
    <row r="574">
      <c r="A574" s="29" t="n"/>
      <c r="B574" s="30" t="n"/>
      <c r="C574" s="30" t="n"/>
      <c r="D574" s="31" t="n"/>
      <c r="E574" s="30" t="n"/>
      <c r="F574" s="32">
        <f>IF(AND(ISNUMBER(D574),ISNUMBER(E574)),D574*E574,"")</f>
        <v/>
      </c>
      <c r="G574" s="31" t="n"/>
      <c r="H574" s="32">
        <f>IF(C574="SELL",F574-SUMIFS($F$2:$F$1000,$B$2:$B$1000,B574,$C$2:$C$1000,"&lt;&gt;SELL",$A$2:$A$1000,"&gt;"&amp;_xlfn.MAXIFS($A$2:$A$1000,$B$2:$B$1000,B574,$C$2:$C$1000,"SELL",$A$2:$A$1000,"&lt;"&amp;A574),$A$2:$A$1000,"&lt;="&amp;A574),"")</f>
        <v/>
      </c>
    </row>
    <row r="575">
      <c r="A575" s="29" t="n"/>
      <c r="B575" s="30" t="n"/>
      <c r="C575" s="30" t="n"/>
      <c r="D575" s="31" t="n"/>
      <c r="E575" s="30" t="n"/>
      <c r="F575" s="32">
        <f>IF(AND(ISNUMBER(D575),ISNUMBER(E575)),D575*E575,"")</f>
        <v/>
      </c>
      <c r="G575" s="31" t="n"/>
      <c r="H575" s="32">
        <f>IF(C575="SELL",F575-SUMIFS($F$2:$F$1000,$B$2:$B$1000,B575,$C$2:$C$1000,"&lt;&gt;SELL",$A$2:$A$1000,"&gt;"&amp;_xlfn.MAXIFS($A$2:$A$1000,$B$2:$B$1000,B575,$C$2:$C$1000,"SELL",$A$2:$A$1000,"&lt;"&amp;A575),$A$2:$A$1000,"&lt;="&amp;A575),"")</f>
        <v/>
      </c>
    </row>
    <row r="576">
      <c r="A576" s="29" t="n"/>
      <c r="B576" s="30" t="n"/>
      <c r="C576" s="30" t="n"/>
      <c r="D576" s="31" t="n"/>
      <c r="E576" s="30" t="n"/>
      <c r="F576" s="32">
        <f>IF(AND(ISNUMBER(D576),ISNUMBER(E576)),D576*E576,"")</f>
        <v/>
      </c>
      <c r="G576" s="31" t="n"/>
      <c r="H576" s="32">
        <f>IF(C576="SELL",F576-SUMIFS($F$2:$F$1000,$B$2:$B$1000,B576,$C$2:$C$1000,"&lt;&gt;SELL",$A$2:$A$1000,"&gt;"&amp;_xlfn.MAXIFS($A$2:$A$1000,$B$2:$B$1000,B576,$C$2:$C$1000,"SELL",$A$2:$A$1000,"&lt;"&amp;A576),$A$2:$A$1000,"&lt;="&amp;A576),"")</f>
        <v/>
      </c>
    </row>
    <row r="577">
      <c r="A577" s="29" t="n"/>
      <c r="B577" s="30" t="n"/>
      <c r="C577" s="30" t="n"/>
      <c r="D577" s="31" t="n"/>
      <c r="E577" s="30" t="n"/>
      <c r="F577" s="32">
        <f>IF(AND(ISNUMBER(D577),ISNUMBER(E577)),D577*E577,"")</f>
        <v/>
      </c>
      <c r="G577" s="31" t="n"/>
      <c r="H577" s="32">
        <f>IF(C577="SELL",F577-SUMIFS($F$2:$F$1000,$B$2:$B$1000,B577,$C$2:$C$1000,"&lt;&gt;SELL",$A$2:$A$1000,"&gt;"&amp;_xlfn.MAXIFS($A$2:$A$1000,$B$2:$B$1000,B577,$C$2:$C$1000,"SELL",$A$2:$A$1000,"&lt;"&amp;A577),$A$2:$A$1000,"&lt;="&amp;A577),"")</f>
        <v/>
      </c>
    </row>
    <row r="578">
      <c r="A578" s="29" t="n"/>
      <c r="B578" s="30" t="n"/>
      <c r="C578" s="30" t="n"/>
      <c r="D578" s="31" t="n"/>
      <c r="E578" s="30" t="n"/>
      <c r="F578" s="32">
        <f>IF(AND(ISNUMBER(D578),ISNUMBER(E578)),D578*E578,"")</f>
        <v/>
      </c>
      <c r="G578" s="31" t="n"/>
      <c r="H578" s="32">
        <f>IF(C578="SELL",F578-SUMIFS($F$2:$F$1000,$B$2:$B$1000,B578,$C$2:$C$1000,"&lt;&gt;SELL",$A$2:$A$1000,"&gt;"&amp;_xlfn.MAXIFS($A$2:$A$1000,$B$2:$B$1000,B578,$C$2:$C$1000,"SELL",$A$2:$A$1000,"&lt;"&amp;A578),$A$2:$A$1000,"&lt;="&amp;A578),"")</f>
        <v/>
      </c>
    </row>
    <row r="579">
      <c r="A579" s="29" t="n"/>
      <c r="B579" s="30" t="n"/>
      <c r="C579" s="30" t="n"/>
      <c r="D579" s="31" t="n"/>
      <c r="E579" s="30" t="n"/>
      <c r="F579" s="32">
        <f>IF(AND(ISNUMBER(D579),ISNUMBER(E579)),D579*E579,"")</f>
        <v/>
      </c>
      <c r="G579" s="31" t="n"/>
      <c r="H579" s="32">
        <f>IF(C579="SELL",F579-SUMIFS($F$2:$F$1000,$B$2:$B$1000,B579,$C$2:$C$1000,"&lt;&gt;SELL",$A$2:$A$1000,"&gt;"&amp;_xlfn.MAXIFS($A$2:$A$1000,$B$2:$B$1000,B579,$C$2:$C$1000,"SELL",$A$2:$A$1000,"&lt;"&amp;A579),$A$2:$A$1000,"&lt;="&amp;A579),"")</f>
        <v/>
      </c>
    </row>
    <row r="580">
      <c r="A580" s="29" t="n"/>
      <c r="B580" s="30" t="n"/>
      <c r="C580" s="30" t="n"/>
      <c r="D580" s="31" t="n"/>
      <c r="E580" s="30" t="n"/>
      <c r="F580" s="32">
        <f>IF(AND(ISNUMBER(D580),ISNUMBER(E580)),D580*E580,"")</f>
        <v/>
      </c>
      <c r="G580" s="31" t="n"/>
      <c r="H580" s="32">
        <f>IF(C580="SELL",F580-SUMIFS($F$2:$F$1000,$B$2:$B$1000,B580,$C$2:$C$1000,"&lt;&gt;SELL",$A$2:$A$1000,"&gt;"&amp;_xlfn.MAXIFS($A$2:$A$1000,$B$2:$B$1000,B580,$C$2:$C$1000,"SELL",$A$2:$A$1000,"&lt;"&amp;A580),$A$2:$A$1000,"&lt;="&amp;A580),"")</f>
        <v/>
      </c>
    </row>
    <row r="581">
      <c r="A581" s="29" t="n"/>
      <c r="B581" s="30" t="n"/>
      <c r="C581" s="30" t="n"/>
      <c r="D581" s="31" t="n"/>
      <c r="E581" s="30" t="n"/>
      <c r="F581" s="32">
        <f>IF(AND(ISNUMBER(D581),ISNUMBER(E581)),D581*E581,"")</f>
        <v/>
      </c>
      <c r="G581" s="31" t="n"/>
      <c r="H581" s="32">
        <f>IF(C581="SELL",F581-SUMIFS($F$2:$F$1000,$B$2:$B$1000,B581,$C$2:$C$1000,"&lt;&gt;SELL",$A$2:$A$1000,"&gt;"&amp;_xlfn.MAXIFS($A$2:$A$1000,$B$2:$B$1000,B581,$C$2:$C$1000,"SELL",$A$2:$A$1000,"&lt;"&amp;A581),$A$2:$A$1000,"&lt;="&amp;A581),"")</f>
        <v/>
      </c>
    </row>
    <row r="582">
      <c r="A582" s="29" t="n"/>
      <c r="B582" s="30" t="n"/>
      <c r="C582" s="30" t="n"/>
      <c r="D582" s="31" t="n"/>
      <c r="E582" s="30" t="n"/>
      <c r="F582" s="32">
        <f>IF(AND(ISNUMBER(D582),ISNUMBER(E582)),D582*E582,"")</f>
        <v/>
      </c>
      <c r="G582" s="31" t="n"/>
      <c r="H582" s="32">
        <f>IF(C582="SELL",F582-SUMIFS($F$2:$F$1000,$B$2:$B$1000,B582,$C$2:$C$1000,"&lt;&gt;SELL",$A$2:$A$1000,"&gt;"&amp;_xlfn.MAXIFS($A$2:$A$1000,$B$2:$B$1000,B582,$C$2:$C$1000,"SELL",$A$2:$A$1000,"&lt;"&amp;A582),$A$2:$A$1000,"&lt;="&amp;A582),"")</f>
        <v/>
      </c>
    </row>
    <row r="583">
      <c r="A583" s="29" t="n"/>
      <c r="B583" s="30" t="n"/>
      <c r="C583" s="30" t="n"/>
      <c r="D583" s="31" t="n"/>
      <c r="E583" s="30" t="n"/>
      <c r="F583" s="32">
        <f>IF(AND(ISNUMBER(D583),ISNUMBER(E583)),D583*E583,"")</f>
        <v/>
      </c>
      <c r="G583" s="31" t="n"/>
      <c r="H583" s="32">
        <f>IF(C583="SELL",F583-SUMIFS($F$2:$F$1000,$B$2:$B$1000,B583,$C$2:$C$1000,"&lt;&gt;SELL",$A$2:$A$1000,"&gt;"&amp;_xlfn.MAXIFS($A$2:$A$1000,$B$2:$B$1000,B583,$C$2:$C$1000,"SELL",$A$2:$A$1000,"&lt;"&amp;A583),$A$2:$A$1000,"&lt;="&amp;A583),"")</f>
        <v/>
      </c>
    </row>
    <row r="584">
      <c r="A584" s="29" t="n"/>
      <c r="B584" s="30" t="n"/>
      <c r="C584" s="30" t="n"/>
      <c r="D584" s="31" t="n"/>
      <c r="E584" s="30" t="n"/>
      <c r="F584" s="32">
        <f>IF(AND(ISNUMBER(D584),ISNUMBER(E584)),D584*E584,"")</f>
        <v/>
      </c>
      <c r="G584" s="31" t="n"/>
      <c r="H584" s="32">
        <f>IF(C584="SELL",F584-SUMIFS($F$2:$F$1000,$B$2:$B$1000,B584,$C$2:$C$1000,"&lt;&gt;SELL",$A$2:$A$1000,"&gt;"&amp;_xlfn.MAXIFS($A$2:$A$1000,$B$2:$B$1000,B584,$C$2:$C$1000,"SELL",$A$2:$A$1000,"&lt;"&amp;A584),$A$2:$A$1000,"&lt;="&amp;A584),"")</f>
        <v/>
      </c>
    </row>
    <row r="585">
      <c r="A585" s="29" t="n"/>
      <c r="B585" s="30" t="n"/>
      <c r="C585" s="30" t="n"/>
      <c r="D585" s="31" t="n"/>
      <c r="E585" s="30" t="n"/>
      <c r="F585" s="32">
        <f>IF(AND(ISNUMBER(D585),ISNUMBER(E585)),D585*E585,"")</f>
        <v/>
      </c>
      <c r="G585" s="31" t="n"/>
      <c r="H585" s="32">
        <f>IF(C585="SELL",F585-SUMIFS($F$2:$F$1000,$B$2:$B$1000,B585,$C$2:$C$1000,"&lt;&gt;SELL",$A$2:$A$1000,"&gt;"&amp;_xlfn.MAXIFS($A$2:$A$1000,$B$2:$B$1000,B585,$C$2:$C$1000,"SELL",$A$2:$A$1000,"&lt;"&amp;A585),$A$2:$A$1000,"&lt;="&amp;A585),"")</f>
        <v/>
      </c>
    </row>
    <row r="586">
      <c r="A586" s="29" t="n"/>
      <c r="B586" s="30" t="n"/>
      <c r="C586" s="30" t="n"/>
      <c r="D586" s="31" t="n"/>
      <c r="E586" s="30" t="n"/>
      <c r="F586" s="32">
        <f>IF(AND(ISNUMBER(D586),ISNUMBER(E586)),D586*E586,"")</f>
        <v/>
      </c>
      <c r="G586" s="31" t="n"/>
      <c r="H586" s="32">
        <f>IF(C586="SELL",F586-SUMIFS($F$2:$F$1000,$B$2:$B$1000,B586,$C$2:$C$1000,"&lt;&gt;SELL",$A$2:$A$1000,"&gt;"&amp;_xlfn.MAXIFS($A$2:$A$1000,$B$2:$B$1000,B586,$C$2:$C$1000,"SELL",$A$2:$A$1000,"&lt;"&amp;A586),$A$2:$A$1000,"&lt;="&amp;A586),"")</f>
        <v/>
      </c>
    </row>
    <row r="587">
      <c r="A587" s="29" t="n"/>
      <c r="B587" s="30" t="n"/>
      <c r="C587" s="30" t="n"/>
      <c r="D587" s="31" t="n"/>
      <c r="E587" s="30" t="n"/>
      <c r="F587" s="32">
        <f>IF(AND(ISNUMBER(D587),ISNUMBER(E587)),D587*E587,"")</f>
        <v/>
      </c>
      <c r="G587" s="31" t="n"/>
      <c r="H587" s="32">
        <f>IF(C587="SELL",F587-SUMIFS($F$2:$F$1000,$B$2:$B$1000,B587,$C$2:$C$1000,"&lt;&gt;SELL",$A$2:$A$1000,"&gt;"&amp;_xlfn.MAXIFS($A$2:$A$1000,$B$2:$B$1000,B587,$C$2:$C$1000,"SELL",$A$2:$A$1000,"&lt;"&amp;A587),$A$2:$A$1000,"&lt;="&amp;A587),"")</f>
        <v/>
      </c>
    </row>
    <row r="588">
      <c r="A588" s="29" t="n"/>
      <c r="B588" s="30" t="n"/>
      <c r="C588" s="30" t="n"/>
      <c r="D588" s="31" t="n"/>
      <c r="E588" s="30" t="n"/>
      <c r="F588" s="32">
        <f>IF(AND(ISNUMBER(D588),ISNUMBER(E588)),D588*E588,"")</f>
        <v/>
      </c>
      <c r="G588" s="31" t="n"/>
      <c r="H588" s="32">
        <f>IF(C588="SELL",F588-SUMIFS($F$2:$F$1000,$B$2:$B$1000,B588,$C$2:$C$1000,"&lt;&gt;SELL",$A$2:$A$1000,"&gt;"&amp;_xlfn.MAXIFS($A$2:$A$1000,$B$2:$B$1000,B588,$C$2:$C$1000,"SELL",$A$2:$A$1000,"&lt;"&amp;A588),$A$2:$A$1000,"&lt;="&amp;A588),"")</f>
        <v/>
      </c>
    </row>
    <row r="589">
      <c r="A589" s="29" t="n"/>
      <c r="B589" s="30" t="n"/>
      <c r="C589" s="30" t="n"/>
      <c r="D589" s="31" t="n"/>
      <c r="E589" s="30" t="n"/>
      <c r="F589" s="32">
        <f>IF(AND(ISNUMBER(D589),ISNUMBER(E589)),D589*E589,"")</f>
        <v/>
      </c>
      <c r="G589" s="31" t="n"/>
      <c r="H589" s="32">
        <f>IF(C589="SELL",F589-SUMIFS($F$2:$F$1000,$B$2:$B$1000,B589,$C$2:$C$1000,"&lt;&gt;SELL",$A$2:$A$1000,"&gt;"&amp;_xlfn.MAXIFS($A$2:$A$1000,$B$2:$B$1000,B589,$C$2:$C$1000,"SELL",$A$2:$A$1000,"&lt;"&amp;A589),$A$2:$A$1000,"&lt;="&amp;A589),"")</f>
        <v/>
      </c>
    </row>
    <row r="590">
      <c r="A590" s="29" t="n"/>
      <c r="B590" s="30" t="n"/>
      <c r="C590" s="30" t="n"/>
      <c r="D590" s="31" t="n"/>
      <c r="E590" s="30" t="n"/>
      <c r="F590" s="32">
        <f>IF(AND(ISNUMBER(D590),ISNUMBER(E590)),D590*E590,"")</f>
        <v/>
      </c>
      <c r="G590" s="31" t="n"/>
      <c r="H590" s="32">
        <f>IF(C590="SELL",F590-SUMIFS($F$2:$F$1000,$B$2:$B$1000,B590,$C$2:$C$1000,"&lt;&gt;SELL",$A$2:$A$1000,"&gt;"&amp;_xlfn.MAXIFS($A$2:$A$1000,$B$2:$B$1000,B590,$C$2:$C$1000,"SELL",$A$2:$A$1000,"&lt;"&amp;A590),$A$2:$A$1000,"&lt;="&amp;A590),"")</f>
        <v/>
      </c>
    </row>
    <row r="591">
      <c r="A591" s="29" t="n"/>
      <c r="B591" s="30" t="n"/>
      <c r="C591" s="30" t="n"/>
      <c r="D591" s="31" t="n"/>
      <c r="E591" s="30" t="n"/>
      <c r="F591" s="32">
        <f>IF(AND(ISNUMBER(D591),ISNUMBER(E591)),D591*E591,"")</f>
        <v/>
      </c>
      <c r="G591" s="31" t="n"/>
      <c r="H591" s="32">
        <f>IF(C591="SELL",F591-SUMIFS($F$2:$F$1000,$B$2:$B$1000,B591,$C$2:$C$1000,"&lt;&gt;SELL",$A$2:$A$1000,"&gt;"&amp;_xlfn.MAXIFS($A$2:$A$1000,$B$2:$B$1000,B591,$C$2:$C$1000,"SELL",$A$2:$A$1000,"&lt;"&amp;A591),$A$2:$A$1000,"&lt;="&amp;A591),"")</f>
        <v/>
      </c>
    </row>
    <row r="592">
      <c r="A592" s="29" t="n"/>
      <c r="B592" s="30" t="n"/>
      <c r="C592" s="30" t="n"/>
      <c r="D592" s="31" t="n"/>
      <c r="E592" s="30" t="n"/>
      <c r="F592" s="32">
        <f>IF(AND(ISNUMBER(D592),ISNUMBER(E592)),D592*E592,"")</f>
        <v/>
      </c>
      <c r="G592" s="31" t="n"/>
      <c r="H592" s="32">
        <f>IF(C592="SELL",F592-SUMIFS($F$2:$F$1000,$B$2:$B$1000,B592,$C$2:$C$1000,"&lt;&gt;SELL",$A$2:$A$1000,"&gt;"&amp;_xlfn.MAXIFS($A$2:$A$1000,$B$2:$B$1000,B592,$C$2:$C$1000,"SELL",$A$2:$A$1000,"&lt;"&amp;A592),$A$2:$A$1000,"&lt;="&amp;A592),"")</f>
        <v/>
      </c>
    </row>
    <row r="593">
      <c r="A593" s="29" t="n"/>
      <c r="B593" s="30" t="n"/>
      <c r="C593" s="30" t="n"/>
      <c r="D593" s="31" t="n"/>
      <c r="E593" s="30" t="n"/>
      <c r="F593" s="32">
        <f>IF(AND(ISNUMBER(D593),ISNUMBER(E593)),D593*E593,"")</f>
        <v/>
      </c>
      <c r="G593" s="31" t="n"/>
      <c r="H593" s="32">
        <f>IF(C593="SELL",F593-SUMIFS($F$2:$F$1000,$B$2:$B$1000,B593,$C$2:$C$1000,"&lt;&gt;SELL",$A$2:$A$1000,"&gt;"&amp;_xlfn.MAXIFS($A$2:$A$1000,$B$2:$B$1000,B593,$C$2:$C$1000,"SELL",$A$2:$A$1000,"&lt;"&amp;A593),$A$2:$A$1000,"&lt;="&amp;A593),"")</f>
        <v/>
      </c>
    </row>
    <row r="594">
      <c r="A594" s="29" t="n"/>
      <c r="B594" s="30" t="n"/>
      <c r="C594" s="30" t="n"/>
      <c r="D594" s="31" t="n"/>
      <c r="E594" s="30" t="n"/>
      <c r="F594" s="32">
        <f>IF(AND(ISNUMBER(D594),ISNUMBER(E594)),D594*E594,"")</f>
        <v/>
      </c>
      <c r="G594" s="31" t="n"/>
      <c r="H594" s="32">
        <f>IF(C594="SELL",F594-SUMIFS($F$2:$F$1000,$B$2:$B$1000,B594,$C$2:$C$1000,"&lt;&gt;SELL",$A$2:$A$1000,"&gt;"&amp;_xlfn.MAXIFS($A$2:$A$1000,$B$2:$B$1000,B594,$C$2:$C$1000,"SELL",$A$2:$A$1000,"&lt;"&amp;A594),$A$2:$A$1000,"&lt;="&amp;A594),"")</f>
        <v/>
      </c>
    </row>
    <row r="595">
      <c r="A595" s="29" t="n"/>
      <c r="B595" s="30" t="n"/>
      <c r="C595" s="30" t="n"/>
      <c r="D595" s="31" t="n"/>
      <c r="E595" s="30" t="n"/>
      <c r="F595" s="32">
        <f>IF(AND(ISNUMBER(D595),ISNUMBER(E595)),D595*E595,"")</f>
        <v/>
      </c>
      <c r="G595" s="31" t="n"/>
      <c r="H595" s="32">
        <f>IF(C595="SELL",F595-SUMIFS($F$2:$F$1000,$B$2:$B$1000,B595,$C$2:$C$1000,"&lt;&gt;SELL",$A$2:$A$1000,"&gt;"&amp;_xlfn.MAXIFS($A$2:$A$1000,$B$2:$B$1000,B595,$C$2:$C$1000,"SELL",$A$2:$A$1000,"&lt;"&amp;A595),$A$2:$A$1000,"&lt;="&amp;A595),"")</f>
        <v/>
      </c>
    </row>
    <row r="596">
      <c r="A596" s="29" t="n"/>
      <c r="B596" s="30" t="n"/>
      <c r="C596" s="30" t="n"/>
      <c r="D596" s="31" t="n"/>
      <c r="E596" s="30" t="n"/>
      <c r="F596" s="32">
        <f>IF(AND(ISNUMBER(D596),ISNUMBER(E596)),D596*E596,"")</f>
        <v/>
      </c>
      <c r="G596" s="31" t="n"/>
      <c r="H596" s="32">
        <f>IF(C596="SELL",F596-SUMIFS($F$2:$F$1000,$B$2:$B$1000,B596,$C$2:$C$1000,"&lt;&gt;SELL",$A$2:$A$1000,"&gt;"&amp;_xlfn.MAXIFS($A$2:$A$1000,$B$2:$B$1000,B596,$C$2:$C$1000,"SELL",$A$2:$A$1000,"&lt;"&amp;A596),$A$2:$A$1000,"&lt;="&amp;A596),"")</f>
        <v/>
      </c>
    </row>
    <row r="597">
      <c r="A597" s="29" t="n"/>
      <c r="B597" s="30" t="n"/>
      <c r="C597" s="30" t="n"/>
      <c r="D597" s="31" t="n"/>
      <c r="E597" s="30" t="n"/>
      <c r="F597" s="32">
        <f>IF(AND(ISNUMBER(D597),ISNUMBER(E597)),D597*E597,"")</f>
        <v/>
      </c>
      <c r="G597" s="31" t="n"/>
      <c r="H597" s="32">
        <f>IF(C597="SELL",F597-SUMIFS($F$2:$F$1000,$B$2:$B$1000,B597,$C$2:$C$1000,"&lt;&gt;SELL",$A$2:$A$1000,"&gt;"&amp;_xlfn.MAXIFS($A$2:$A$1000,$B$2:$B$1000,B597,$C$2:$C$1000,"SELL",$A$2:$A$1000,"&lt;"&amp;A597),$A$2:$A$1000,"&lt;="&amp;A597),"")</f>
        <v/>
      </c>
    </row>
    <row r="598">
      <c r="A598" s="29" t="n"/>
      <c r="B598" s="30" t="n"/>
      <c r="C598" s="30" t="n"/>
      <c r="D598" s="31" t="n"/>
      <c r="E598" s="30" t="n"/>
      <c r="F598" s="32">
        <f>IF(AND(ISNUMBER(D598),ISNUMBER(E598)),D598*E598,"")</f>
        <v/>
      </c>
      <c r="G598" s="31" t="n"/>
      <c r="H598" s="32">
        <f>IF(C598="SELL",F598-SUMIFS($F$2:$F$1000,$B$2:$B$1000,B598,$C$2:$C$1000,"&lt;&gt;SELL",$A$2:$A$1000,"&gt;"&amp;_xlfn.MAXIFS($A$2:$A$1000,$B$2:$B$1000,B598,$C$2:$C$1000,"SELL",$A$2:$A$1000,"&lt;"&amp;A598),$A$2:$A$1000,"&lt;="&amp;A598),"")</f>
        <v/>
      </c>
    </row>
    <row r="599">
      <c r="A599" s="29" t="n"/>
      <c r="B599" s="30" t="n"/>
      <c r="C599" s="30" t="n"/>
      <c r="D599" s="31" t="n"/>
      <c r="E599" s="30" t="n"/>
      <c r="F599" s="32">
        <f>IF(AND(ISNUMBER(D599),ISNUMBER(E599)),D599*E599,"")</f>
        <v/>
      </c>
      <c r="G599" s="31" t="n"/>
      <c r="H599" s="32">
        <f>IF(C599="SELL",F599-SUMIFS($F$2:$F$1000,$B$2:$B$1000,B599,$C$2:$C$1000,"&lt;&gt;SELL",$A$2:$A$1000,"&gt;"&amp;_xlfn.MAXIFS($A$2:$A$1000,$B$2:$B$1000,B599,$C$2:$C$1000,"SELL",$A$2:$A$1000,"&lt;"&amp;A599),$A$2:$A$1000,"&lt;="&amp;A599),"")</f>
        <v/>
      </c>
    </row>
    <row r="600">
      <c r="A600" s="29" t="n"/>
      <c r="B600" s="30" t="n"/>
      <c r="C600" s="30" t="n"/>
      <c r="D600" s="31" t="n"/>
      <c r="E600" s="30" t="n"/>
      <c r="F600" s="32">
        <f>IF(AND(ISNUMBER(D600),ISNUMBER(E600)),D600*E600,"")</f>
        <v/>
      </c>
      <c r="G600" s="31" t="n"/>
      <c r="H600" s="32">
        <f>IF(C600="SELL",F600-SUMIFS($F$2:$F$1000,$B$2:$B$1000,B600,$C$2:$C$1000,"&lt;&gt;SELL",$A$2:$A$1000,"&gt;"&amp;_xlfn.MAXIFS($A$2:$A$1000,$B$2:$B$1000,B600,$C$2:$C$1000,"SELL",$A$2:$A$1000,"&lt;"&amp;A600),$A$2:$A$1000,"&lt;="&amp;A600),"")</f>
        <v/>
      </c>
    </row>
    <row r="601">
      <c r="A601" s="29" t="n"/>
      <c r="B601" s="30" t="n"/>
      <c r="C601" s="30" t="n"/>
      <c r="D601" s="31" t="n"/>
      <c r="E601" s="30" t="n"/>
      <c r="F601" s="32">
        <f>IF(AND(ISNUMBER(D601),ISNUMBER(E601)),D601*E601,"")</f>
        <v/>
      </c>
      <c r="G601" s="31" t="n"/>
      <c r="H601" s="32">
        <f>IF(C601="SELL",F601-SUMIFS($F$2:$F$1000,$B$2:$B$1000,B601,$C$2:$C$1000,"&lt;&gt;SELL",$A$2:$A$1000,"&gt;"&amp;_xlfn.MAXIFS($A$2:$A$1000,$B$2:$B$1000,B601,$C$2:$C$1000,"SELL",$A$2:$A$1000,"&lt;"&amp;A601),$A$2:$A$1000,"&lt;="&amp;A601),"")</f>
        <v/>
      </c>
    </row>
    <row r="602">
      <c r="A602" s="29" t="n"/>
      <c r="B602" s="30" t="n"/>
      <c r="C602" s="30" t="n"/>
      <c r="D602" s="31" t="n"/>
      <c r="E602" s="30" t="n"/>
      <c r="F602" s="32">
        <f>IF(AND(ISNUMBER(D602),ISNUMBER(E602)),D602*E602,"")</f>
        <v/>
      </c>
      <c r="G602" s="31" t="n"/>
      <c r="H602" s="32">
        <f>IF(C602="SELL",F602-SUMIFS($F$2:$F$1000,$B$2:$B$1000,B602,$C$2:$C$1000,"&lt;&gt;SELL",$A$2:$A$1000,"&gt;"&amp;_xlfn.MAXIFS($A$2:$A$1000,$B$2:$B$1000,B602,$C$2:$C$1000,"SELL",$A$2:$A$1000,"&lt;"&amp;A602),$A$2:$A$1000,"&lt;="&amp;A602),"")</f>
        <v/>
      </c>
    </row>
    <row r="603">
      <c r="A603" s="29" t="n"/>
      <c r="B603" s="30" t="n"/>
      <c r="C603" s="30" t="n"/>
      <c r="D603" s="31" t="n"/>
      <c r="E603" s="30" t="n"/>
      <c r="F603" s="32">
        <f>IF(AND(ISNUMBER(D603),ISNUMBER(E603)),D603*E603,"")</f>
        <v/>
      </c>
      <c r="G603" s="31" t="n"/>
      <c r="H603" s="32">
        <f>IF(C603="SELL",F603-SUMIFS($F$2:$F$1000,$B$2:$B$1000,B603,$C$2:$C$1000,"&lt;&gt;SELL",$A$2:$A$1000,"&gt;"&amp;_xlfn.MAXIFS($A$2:$A$1000,$B$2:$B$1000,B603,$C$2:$C$1000,"SELL",$A$2:$A$1000,"&lt;"&amp;A603),$A$2:$A$1000,"&lt;="&amp;A603),"")</f>
        <v/>
      </c>
    </row>
    <row r="604">
      <c r="A604" s="29" t="n"/>
      <c r="B604" s="30" t="n"/>
      <c r="C604" s="30" t="n"/>
      <c r="D604" s="31" t="n"/>
      <c r="E604" s="30" t="n"/>
      <c r="F604" s="32">
        <f>IF(AND(ISNUMBER(D604),ISNUMBER(E604)),D604*E604,"")</f>
        <v/>
      </c>
      <c r="G604" s="31" t="n"/>
      <c r="H604" s="32">
        <f>IF(C604="SELL",F604-SUMIFS($F$2:$F$1000,$B$2:$B$1000,B604,$C$2:$C$1000,"&lt;&gt;SELL",$A$2:$A$1000,"&gt;"&amp;_xlfn.MAXIFS($A$2:$A$1000,$B$2:$B$1000,B604,$C$2:$C$1000,"SELL",$A$2:$A$1000,"&lt;"&amp;A604),$A$2:$A$1000,"&lt;="&amp;A604),"")</f>
        <v/>
      </c>
    </row>
    <row r="605">
      <c r="A605" s="29" t="n"/>
      <c r="B605" s="30" t="n"/>
      <c r="C605" s="30" t="n"/>
      <c r="D605" s="31" t="n"/>
      <c r="E605" s="30" t="n"/>
      <c r="F605" s="32">
        <f>IF(AND(ISNUMBER(D605),ISNUMBER(E605)),D605*E605,"")</f>
        <v/>
      </c>
      <c r="G605" s="31" t="n"/>
      <c r="H605" s="32">
        <f>IF(C605="SELL",F605-SUMIFS($F$2:$F$1000,$B$2:$B$1000,B605,$C$2:$C$1000,"&lt;&gt;SELL",$A$2:$A$1000,"&gt;"&amp;_xlfn.MAXIFS($A$2:$A$1000,$B$2:$B$1000,B605,$C$2:$C$1000,"SELL",$A$2:$A$1000,"&lt;"&amp;A605),$A$2:$A$1000,"&lt;="&amp;A605),"")</f>
        <v/>
      </c>
    </row>
    <row r="606">
      <c r="A606" s="29" t="n"/>
      <c r="B606" s="30" t="n"/>
      <c r="C606" s="30" t="n"/>
      <c r="D606" s="31" t="n"/>
      <c r="E606" s="30" t="n"/>
      <c r="F606" s="32">
        <f>IF(AND(ISNUMBER(D606),ISNUMBER(E606)),D606*E606,"")</f>
        <v/>
      </c>
      <c r="G606" s="31" t="n"/>
      <c r="H606" s="32">
        <f>IF(C606="SELL",F606-SUMIFS($F$2:$F$1000,$B$2:$B$1000,B606,$C$2:$C$1000,"&lt;&gt;SELL",$A$2:$A$1000,"&gt;"&amp;_xlfn.MAXIFS($A$2:$A$1000,$B$2:$B$1000,B606,$C$2:$C$1000,"SELL",$A$2:$A$1000,"&lt;"&amp;A606),$A$2:$A$1000,"&lt;="&amp;A606),"")</f>
        <v/>
      </c>
    </row>
    <row r="607">
      <c r="A607" s="29" t="n"/>
      <c r="B607" s="30" t="n"/>
      <c r="C607" s="30" t="n"/>
      <c r="D607" s="31" t="n"/>
      <c r="E607" s="30" t="n"/>
      <c r="F607" s="32">
        <f>IF(AND(ISNUMBER(D607),ISNUMBER(E607)),D607*E607,"")</f>
        <v/>
      </c>
      <c r="G607" s="31" t="n"/>
      <c r="H607" s="32">
        <f>IF(C607="SELL",F607-SUMIFS($F$2:$F$1000,$B$2:$B$1000,B607,$C$2:$C$1000,"&lt;&gt;SELL",$A$2:$A$1000,"&gt;"&amp;_xlfn.MAXIFS($A$2:$A$1000,$B$2:$B$1000,B607,$C$2:$C$1000,"SELL",$A$2:$A$1000,"&lt;"&amp;A607),$A$2:$A$1000,"&lt;="&amp;A607),"")</f>
        <v/>
      </c>
    </row>
    <row r="608">
      <c r="A608" s="29" t="n"/>
      <c r="B608" s="30" t="n"/>
      <c r="C608" s="30" t="n"/>
      <c r="D608" s="31" t="n"/>
      <c r="E608" s="30" t="n"/>
      <c r="F608" s="32">
        <f>IF(AND(ISNUMBER(D608),ISNUMBER(E608)),D608*E608,"")</f>
        <v/>
      </c>
      <c r="G608" s="31" t="n"/>
      <c r="H608" s="32">
        <f>IF(C608="SELL",F608-SUMIFS($F$2:$F$1000,$B$2:$B$1000,B608,$C$2:$C$1000,"&lt;&gt;SELL",$A$2:$A$1000,"&gt;"&amp;_xlfn.MAXIFS($A$2:$A$1000,$B$2:$B$1000,B608,$C$2:$C$1000,"SELL",$A$2:$A$1000,"&lt;"&amp;A608),$A$2:$A$1000,"&lt;="&amp;A608),"")</f>
        <v/>
      </c>
    </row>
    <row r="609">
      <c r="A609" s="29" t="n"/>
      <c r="B609" s="30" t="n"/>
      <c r="C609" s="30" t="n"/>
      <c r="D609" s="31" t="n"/>
      <c r="E609" s="30" t="n"/>
      <c r="F609" s="32">
        <f>IF(AND(ISNUMBER(D609),ISNUMBER(E609)),D609*E609,"")</f>
        <v/>
      </c>
      <c r="G609" s="31" t="n"/>
      <c r="H609" s="32">
        <f>IF(C609="SELL",F609-SUMIFS($F$2:$F$1000,$B$2:$B$1000,B609,$C$2:$C$1000,"&lt;&gt;SELL",$A$2:$A$1000,"&gt;"&amp;_xlfn.MAXIFS($A$2:$A$1000,$B$2:$B$1000,B609,$C$2:$C$1000,"SELL",$A$2:$A$1000,"&lt;"&amp;A609),$A$2:$A$1000,"&lt;="&amp;A609),"")</f>
        <v/>
      </c>
    </row>
    <row r="610">
      <c r="A610" s="29" t="n"/>
      <c r="B610" s="30" t="n"/>
      <c r="C610" s="30" t="n"/>
      <c r="D610" s="31" t="n"/>
      <c r="E610" s="30" t="n"/>
      <c r="F610" s="32">
        <f>IF(AND(ISNUMBER(D610),ISNUMBER(E610)),D610*E610,"")</f>
        <v/>
      </c>
      <c r="G610" s="31" t="n"/>
      <c r="H610" s="32">
        <f>IF(C610="SELL",F610-SUMIFS($F$2:$F$1000,$B$2:$B$1000,B610,$C$2:$C$1000,"&lt;&gt;SELL",$A$2:$A$1000,"&gt;"&amp;_xlfn.MAXIFS($A$2:$A$1000,$B$2:$B$1000,B610,$C$2:$C$1000,"SELL",$A$2:$A$1000,"&lt;"&amp;A610),$A$2:$A$1000,"&lt;="&amp;A610),"")</f>
        <v/>
      </c>
    </row>
    <row r="611">
      <c r="A611" s="29" t="n"/>
      <c r="B611" s="30" t="n"/>
      <c r="C611" s="30" t="n"/>
      <c r="D611" s="31" t="n"/>
      <c r="E611" s="30" t="n"/>
      <c r="F611" s="32">
        <f>IF(AND(ISNUMBER(D611),ISNUMBER(E611)),D611*E611,"")</f>
        <v/>
      </c>
      <c r="G611" s="31" t="n"/>
      <c r="H611" s="32">
        <f>IF(C611="SELL",F611-SUMIFS($F$2:$F$1000,$B$2:$B$1000,B611,$C$2:$C$1000,"&lt;&gt;SELL",$A$2:$A$1000,"&gt;"&amp;_xlfn.MAXIFS($A$2:$A$1000,$B$2:$B$1000,B611,$C$2:$C$1000,"SELL",$A$2:$A$1000,"&lt;"&amp;A611),$A$2:$A$1000,"&lt;="&amp;A611),"")</f>
        <v/>
      </c>
    </row>
    <row r="612">
      <c r="A612" s="29" t="n"/>
      <c r="B612" s="30" t="n"/>
      <c r="C612" s="30" t="n"/>
      <c r="D612" s="31" t="n"/>
      <c r="E612" s="30" t="n"/>
      <c r="F612" s="32">
        <f>IF(AND(ISNUMBER(D612),ISNUMBER(E612)),D612*E612,"")</f>
        <v/>
      </c>
      <c r="G612" s="31" t="n"/>
      <c r="H612" s="32">
        <f>IF(C612="SELL",F612-SUMIFS($F$2:$F$1000,$B$2:$B$1000,B612,$C$2:$C$1000,"&lt;&gt;SELL",$A$2:$A$1000,"&gt;"&amp;_xlfn.MAXIFS($A$2:$A$1000,$B$2:$B$1000,B612,$C$2:$C$1000,"SELL",$A$2:$A$1000,"&lt;"&amp;A612),$A$2:$A$1000,"&lt;="&amp;A612),"")</f>
        <v/>
      </c>
    </row>
    <row r="613">
      <c r="A613" s="29" t="n"/>
      <c r="B613" s="30" t="n"/>
      <c r="C613" s="30" t="n"/>
      <c r="D613" s="31" t="n"/>
      <c r="E613" s="30" t="n"/>
      <c r="F613" s="32">
        <f>IF(AND(ISNUMBER(D613),ISNUMBER(E613)),D613*E613,"")</f>
        <v/>
      </c>
      <c r="G613" s="31" t="n"/>
      <c r="H613" s="32">
        <f>IF(C613="SELL",F613-SUMIFS($F$2:$F$1000,$B$2:$B$1000,B613,$C$2:$C$1000,"&lt;&gt;SELL",$A$2:$A$1000,"&gt;"&amp;_xlfn.MAXIFS($A$2:$A$1000,$B$2:$B$1000,B613,$C$2:$C$1000,"SELL",$A$2:$A$1000,"&lt;"&amp;A613),$A$2:$A$1000,"&lt;="&amp;A613),"")</f>
        <v/>
      </c>
    </row>
    <row r="614">
      <c r="A614" s="29" t="n"/>
      <c r="B614" s="30" t="n"/>
      <c r="C614" s="30" t="n"/>
      <c r="D614" s="31" t="n"/>
      <c r="E614" s="30" t="n"/>
      <c r="F614" s="32">
        <f>IF(AND(ISNUMBER(D614),ISNUMBER(E614)),D614*E614,"")</f>
        <v/>
      </c>
      <c r="G614" s="31" t="n"/>
      <c r="H614" s="32">
        <f>IF(C614="SELL",F614-SUMIFS($F$2:$F$1000,$B$2:$B$1000,B614,$C$2:$C$1000,"&lt;&gt;SELL",$A$2:$A$1000,"&gt;"&amp;_xlfn.MAXIFS($A$2:$A$1000,$B$2:$B$1000,B614,$C$2:$C$1000,"SELL",$A$2:$A$1000,"&lt;"&amp;A614),$A$2:$A$1000,"&lt;="&amp;A614),"")</f>
        <v/>
      </c>
    </row>
    <row r="615">
      <c r="A615" s="29" t="n"/>
      <c r="B615" s="30" t="n"/>
      <c r="C615" s="30" t="n"/>
      <c r="D615" s="31" t="n"/>
      <c r="E615" s="30" t="n"/>
      <c r="F615" s="32">
        <f>IF(AND(ISNUMBER(D615),ISNUMBER(E615)),D615*E615,"")</f>
        <v/>
      </c>
      <c r="G615" s="31" t="n"/>
      <c r="H615" s="32">
        <f>IF(C615="SELL",F615-SUMIFS($F$2:$F$1000,$B$2:$B$1000,B615,$C$2:$C$1000,"&lt;&gt;SELL",$A$2:$A$1000,"&gt;"&amp;_xlfn.MAXIFS($A$2:$A$1000,$B$2:$B$1000,B615,$C$2:$C$1000,"SELL",$A$2:$A$1000,"&lt;"&amp;A615),$A$2:$A$1000,"&lt;="&amp;A615),"")</f>
        <v/>
      </c>
    </row>
    <row r="616">
      <c r="A616" s="29" t="n"/>
      <c r="B616" s="30" t="n"/>
      <c r="C616" s="30" t="n"/>
      <c r="D616" s="31" t="n"/>
      <c r="E616" s="30" t="n"/>
      <c r="F616" s="32">
        <f>IF(AND(ISNUMBER(D616),ISNUMBER(E616)),D616*E616,"")</f>
        <v/>
      </c>
      <c r="G616" s="31" t="n"/>
      <c r="H616" s="32">
        <f>IF(C616="SELL",F616-SUMIFS($F$2:$F$1000,$B$2:$B$1000,B616,$C$2:$C$1000,"&lt;&gt;SELL",$A$2:$A$1000,"&gt;"&amp;_xlfn.MAXIFS($A$2:$A$1000,$B$2:$B$1000,B616,$C$2:$C$1000,"SELL",$A$2:$A$1000,"&lt;"&amp;A616),$A$2:$A$1000,"&lt;="&amp;A616),"")</f>
        <v/>
      </c>
    </row>
    <row r="617">
      <c r="A617" s="29" t="n"/>
      <c r="B617" s="30" t="n"/>
      <c r="C617" s="30" t="n"/>
      <c r="D617" s="31" t="n"/>
      <c r="E617" s="30" t="n"/>
      <c r="F617" s="32">
        <f>IF(AND(ISNUMBER(D617),ISNUMBER(E617)),D617*E617,"")</f>
        <v/>
      </c>
      <c r="G617" s="31" t="n"/>
      <c r="H617" s="32">
        <f>IF(C617="SELL",F617-SUMIFS($F$2:$F$1000,$B$2:$B$1000,B617,$C$2:$C$1000,"&lt;&gt;SELL",$A$2:$A$1000,"&gt;"&amp;_xlfn.MAXIFS($A$2:$A$1000,$B$2:$B$1000,B617,$C$2:$C$1000,"SELL",$A$2:$A$1000,"&lt;"&amp;A617),$A$2:$A$1000,"&lt;="&amp;A617),"")</f>
        <v/>
      </c>
    </row>
    <row r="618">
      <c r="A618" s="29" t="n"/>
      <c r="B618" s="30" t="n"/>
      <c r="C618" s="30" t="n"/>
      <c r="D618" s="31" t="n"/>
      <c r="E618" s="30" t="n"/>
      <c r="F618" s="32">
        <f>IF(AND(ISNUMBER(D618),ISNUMBER(E618)),D618*E618,"")</f>
        <v/>
      </c>
      <c r="G618" s="31" t="n"/>
      <c r="H618" s="32">
        <f>IF(C618="SELL",F618-SUMIFS($F$2:$F$1000,$B$2:$B$1000,B618,$C$2:$C$1000,"&lt;&gt;SELL",$A$2:$A$1000,"&gt;"&amp;_xlfn.MAXIFS($A$2:$A$1000,$B$2:$B$1000,B618,$C$2:$C$1000,"SELL",$A$2:$A$1000,"&lt;"&amp;A618),$A$2:$A$1000,"&lt;="&amp;A618),"")</f>
        <v/>
      </c>
    </row>
    <row r="619">
      <c r="A619" s="29" t="n"/>
      <c r="B619" s="30" t="n"/>
      <c r="C619" s="30" t="n"/>
      <c r="D619" s="31" t="n"/>
      <c r="E619" s="30" t="n"/>
      <c r="F619" s="32">
        <f>IF(AND(ISNUMBER(D619),ISNUMBER(E619)),D619*E619,"")</f>
        <v/>
      </c>
      <c r="G619" s="31" t="n"/>
      <c r="H619" s="32">
        <f>IF(C619="SELL",F619-SUMIFS($F$2:$F$1000,$B$2:$B$1000,B619,$C$2:$C$1000,"&lt;&gt;SELL",$A$2:$A$1000,"&gt;"&amp;_xlfn.MAXIFS($A$2:$A$1000,$B$2:$B$1000,B619,$C$2:$C$1000,"SELL",$A$2:$A$1000,"&lt;"&amp;A619),$A$2:$A$1000,"&lt;="&amp;A619),"")</f>
        <v/>
      </c>
    </row>
    <row r="620">
      <c r="A620" s="29" t="n"/>
      <c r="B620" s="30" t="n"/>
      <c r="C620" s="30" t="n"/>
      <c r="D620" s="31" t="n"/>
      <c r="E620" s="30" t="n"/>
      <c r="F620" s="32">
        <f>IF(AND(ISNUMBER(D620),ISNUMBER(E620)),D620*E620,"")</f>
        <v/>
      </c>
      <c r="G620" s="31" t="n"/>
      <c r="H620" s="32">
        <f>IF(C620="SELL",F620-SUMIFS($F$2:$F$1000,$B$2:$B$1000,B620,$C$2:$C$1000,"&lt;&gt;SELL",$A$2:$A$1000,"&gt;"&amp;_xlfn.MAXIFS($A$2:$A$1000,$B$2:$B$1000,B620,$C$2:$C$1000,"SELL",$A$2:$A$1000,"&lt;"&amp;A620),$A$2:$A$1000,"&lt;="&amp;A620),"")</f>
        <v/>
      </c>
    </row>
    <row r="621">
      <c r="A621" s="29" t="n"/>
      <c r="B621" s="30" t="n"/>
      <c r="C621" s="30" t="n"/>
      <c r="D621" s="31" t="n"/>
      <c r="E621" s="30" t="n"/>
      <c r="F621" s="32">
        <f>IF(AND(ISNUMBER(D621),ISNUMBER(E621)),D621*E621,"")</f>
        <v/>
      </c>
      <c r="G621" s="31" t="n"/>
      <c r="H621" s="32">
        <f>IF(C621="SELL",F621-SUMIFS($F$2:$F$1000,$B$2:$B$1000,B621,$C$2:$C$1000,"&lt;&gt;SELL",$A$2:$A$1000,"&gt;"&amp;_xlfn.MAXIFS($A$2:$A$1000,$B$2:$B$1000,B621,$C$2:$C$1000,"SELL",$A$2:$A$1000,"&lt;"&amp;A621),$A$2:$A$1000,"&lt;="&amp;A621),"")</f>
        <v/>
      </c>
    </row>
    <row r="622">
      <c r="A622" s="29" t="n"/>
      <c r="B622" s="30" t="n"/>
      <c r="C622" s="30" t="n"/>
      <c r="D622" s="31" t="n"/>
      <c r="E622" s="30" t="n"/>
      <c r="F622" s="32">
        <f>IF(AND(ISNUMBER(D622),ISNUMBER(E622)),D622*E622,"")</f>
        <v/>
      </c>
      <c r="G622" s="31" t="n"/>
      <c r="H622" s="32">
        <f>IF(C622="SELL",F622-SUMIFS($F$2:$F$1000,$B$2:$B$1000,B622,$C$2:$C$1000,"&lt;&gt;SELL",$A$2:$A$1000,"&gt;"&amp;_xlfn.MAXIFS($A$2:$A$1000,$B$2:$B$1000,B622,$C$2:$C$1000,"SELL",$A$2:$A$1000,"&lt;"&amp;A622),$A$2:$A$1000,"&lt;="&amp;A622),"")</f>
        <v/>
      </c>
    </row>
    <row r="623">
      <c r="A623" s="29" t="n"/>
      <c r="B623" s="30" t="n"/>
      <c r="C623" s="30" t="n"/>
      <c r="D623" s="31" t="n"/>
      <c r="E623" s="30" t="n"/>
      <c r="F623" s="32">
        <f>IF(AND(ISNUMBER(D623),ISNUMBER(E623)),D623*E623,"")</f>
        <v/>
      </c>
      <c r="G623" s="31" t="n"/>
      <c r="H623" s="32">
        <f>IF(C623="SELL",F623-SUMIFS($F$2:$F$1000,$B$2:$B$1000,B623,$C$2:$C$1000,"&lt;&gt;SELL",$A$2:$A$1000,"&gt;"&amp;_xlfn.MAXIFS($A$2:$A$1000,$B$2:$B$1000,B623,$C$2:$C$1000,"SELL",$A$2:$A$1000,"&lt;"&amp;A623),$A$2:$A$1000,"&lt;="&amp;A623),"")</f>
        <v/>
      </c>
    </row>
    <row r="624">
      <c r="A624" s="29" t="n"/>
      <c r="B624" s="30" t="n"/>
      <c r="C624" s="30" t="n"/>
      <c r="D624" s="31" t="n"/>
      <c r="E624" s="30" t="n"/>
      <c r="F624" s="32">
        <f>IF(AND(ISNUMBER(D624),ISNUMBER(E624)),D624*E624,"")</f>
        <v/>
      </c>
      <c r="G624" s="31" t="n"/>
      <c r="H624" s="32">
        <f>IF(C624="SELL",F624-SUMIFS($F$2:$F$1000,$B$2:$B$1000,B624,$C$2:$C$1000,"&lt;&gt;SELL",$A$2:$A$1000,"&gt;"&amp;_xlfn.MAXIFS($A$2:$A$1000,$B$2:$B$1000,B624,$C$2:$C$1000,"SELL",$A$2:$A$1000,"&lt;"&amp;A624),$A$2:$A$1000,"&lt;="&amp;A624),"")</f>
        <v/>
      </c>
    </row>
    <row r="625">
      <c r="A625" s="29" t="n"/>
      <c r="B625" s="30" t="n"/>
      <c r="C625" s="30" t="n"/>
      <c r="D625" s="31" t="n"/>
      <c r="E625" s="30" t="n"/>
      <c r="F625" s="32">
        <f>IF(AND(ISNUMBER(D625),ISNUMBER(E625)),D625*E625,"")</f>
        <v/>
      </c>
      <c r="G625" s="31" t="n"/>
      <c r="H625" s="32">
        <f>IF(C625="SELL",F625-SUMIFS($F$2:$F$1000,$B$2:$B$1000,B625,$C$2:$C$1000,"&lt;&gt;SELL",$A$2:$A$1000,"&gt;"&amp;_xlfn.MAXIFS($A$2:$A$1000,$B$2:$B$1000,B625,$C$2:$C$1000,"SELL",$A$2:$A$1000,"&lt;"&amp;A625),$A$2:$A$1000,"&lt;="&amp;A625),"")</f>
        <v/>
      </c>
    </row>
    <row r="626">
      <c r="A626" s="29" t="n"/>
      <c r="B626" s="30" t="n"/>
      <c r="C626" s="30" t="n"/>
      <c r="D626" s="31" t="n"/>
      <c r="E626" s="30" t="n"/>
      <c r="F626" s="32">
        <f>IF(AND(ISNUMBER(D626),ISNUMBER(E626)),D626*E626,"")</f>
        <v/>
      </c>
      <c r="G626" s="31" t="n"/>
      <c r="H626" s="32">
        <f>IF(C626="SELL",F626-SUMIFS($F$2:$F$1000,$B$2:$B$1000,B626,$C$2:$C$1000,"&lt;&gt;SELL",$A$2:$A$1000,"&gt;"&amp;_xlfn.MAXIFS($A$2:$A$1000,$B$2:$B$1000,B626,$C$2:$C$1000,"SELL",$A$2:$A$1000,"&lt;"&amp;A626),$A$2:$A$1000,"&lt;="&amp;A626),"")</f>
        <v/>
      </c>
    </row>
    <row r="627">
      <c r="A627" s="29" t="n"/>
      <c r="B627" s="30" t="n"/>
      <c r="C627" s="30" t="n"/>
      <c r="D627" s="31" t="n"/>
      <c r="E627" s="30" t="n"/>
      <c r="F627" s="32">
        <f>IF(AND(ISNUMBER(D627),ISNUMBER(E627)),D627*E627,"")</f>
        <v/>
      </c>
      <c r="G627" s="31" t="n"/>
      <c r="H627" s="32">
        <f>IF(C627="SELL",F627-SUMIFS($F$2:$F$1000,$B$2:$B$1000,B627,$C$2:$C$1000,"&lt;&gt;SELL",$A$2:$A$1000,"&gt;"&amp;_xlfn.MAXIFS($A$2:$A$1000,$B$2:$B$1000,B627,$C$2:$C$1000,"SELL",$A$2:$A$1000,"&lt;"&amp;A627),$A$2:$A$1000,"&lt;="&amp;A627),"")</f>
        <v/>
      </c>
    </row>
    <row r="628">
      <c r="A628" s="29" t="n"/>
      <c r="B628" s="30" t="n"/>
      <c r="C628" s="30" t="n"/>
      <c r="D628" s="31" t="n"/>
      <c r="E628" s="30" t="n"/>
      <c r="F628" s="32">
        <f>IF(AND(ISNUMBER(D628),ISNUMBER(E628)),D628*E628,"")</f>
        <v/>
      </c>
      <c r="G628" s="31" t="n"/>
      <c r="H628" s="32">
        <f>IF(C628="SELL",F628-SUMIFS($F$2:$F$1000,$B$2:$B$1000,B628,$C$2:$C$1000,"&lt;&gt;SELL",$A$2:$A$1000,"&gt;"&amp;_xlfn.MAXIFS($A$2:$A$1000,$B$2:$B$1000,B628,$C$2:$C$1000,"SELL",$A$2:$A$1000,"&lt;"&amp;A628),$A$2:$A$1000,"&lt;="&amp;A628),"")</f>
        <v/>
      </c>
    </row>
    <row r="629">
      <c r="A629" s="29" t="n"/>
      <c r="B629" s="30" t="n"/>
      <c r="C629" s="30" t="n"/>
      <c r="D629" s="31" t="n"/>
      <c r="E629" s="30" t="n"/>
      <c r="F629" s="32">
        <f>IF(AND(ISNUMBER(D629),ISNUMBER(E629)),D629*E629,"")</f>
        <v/>
      </c>
      <c r="G629" s="31" t="n"/>
      <c r="H629" s="32">
        <f>IF(C629="SELL",F629-SUMIFS($F$2:$F$1000,$B$2:$B$1000,B629,$C$2:$C$1000,"&lt;&gt;SELL",$A$2:$A$1000,"&gt;"&amp;_xlfn.MAXIFS($A$2:$A$1000,$B$2:$B$1000,B629,$C$2:$C$1000,"SELL",$A$2:$A$1000,"&lt;"&amp;A629),$A$2:$A$1000,"&lt;="&amp;A629),"")</f>
        <v/>
      </c>
    </row>
    <row r="630">
      <c r="A630" s="29" t="n"/>
      <c r="B630" s="30" t="n"/>
      <c r="C630" s="30" t="n"/>
      <c r="D630" s="31" t="n"/>
      <c r="E630" s="30" t="n"/>
      <c r="F630" s="32">
        <f>IF(AND(ISNUMBER(D630),ISNUMBER(E630)),D630*E630,"")</f>
        <v/>
      </c>
      <c r="G630" s="31" t="n"/>
      <c r="H630" s="32">
        <f>IF(C630="SELL",F630-SUMIFS($F$2:$F$1000,$B$2:$B$1000,B630,$C$2:$C$1000,"&lt;&gt;SELL",$A$2:$A$1000,"&gt;"&amp;_xlfn.MAXIFS($A$2:$A$1000,$B$2:$B$1000,B630,$C$2:$C$1000,"SELL",$A$2:$A$1000,"&lt;"&amp;A630),$A$2:$A$1000,"&lt;="&amp;A630),"")</f>
        <v/>
      </c>
    </row>
    <row r="631">
      <c r="A631" s="29" t="n"/>
      <c r="B631" s="30" t="n"/>
      <c r="C631" s="30" t="n"/>
      <c r="D631" s="31" t="n"/>
      <c r="E631" s="30" t="n"/>
      <c r="F631" s="32">
        <f>IF(AND(ISNUMBER(D631),ISNUMBER(E631)),D631*E631,"")</f>
        <v/>
      </c>
      <c r="G631" s="31" t="n"/>
      <c r="H631" s="32">
        <f>IF(C631="SELL",F631-SUMIFS($F$2:$F$1000,$B$2:$B$1000,B631,$C$2:$C$1000,"&lt;&gt;SELL",$A$2:$A$1000,"&gt;"&amp;_xlfn.MAXIFS($A$2:$A$1000,$B$2:$B$1000,B631,$C$2:$C$1000,"SELL",$A$2:$A$1000,"&lt;"&amp;A631),$A$2:$A$1000,"&lt;="&amp;A631),"")</f>
        <v/>
      </c>
    </row>
    <row r="632">
      <c r="A632" s="29" t="n"/>
      <c r="B632" s="30" t="n"/>
      <c r="C632" s="30" t="n"/>
      <c r="D632" s="31" t="n"/>
      <c r="E632" s="30" t="n"/>
      <c r="F632" s="32">
        <f>IF(AND(ISNUMBER(D632),ISNUMBER(E632)),D632*E632,"")</f>
        <v/>
      </c>
      <c r="G632" s="31" t="n"/>
      <c r="H632" s="32">
        <f>IF(C632="SELL",F632-SUMIFS($F$2:$F$1000,$B$2:$B$1000,B632,$C$2:$C$1000,"&lt;&gt;SELL",$A$2:$A$1000,"&gt;"&amp;_xlfn.MAXIFS($A$2:$A$1000,$B$2:$B$1000,B632,$C$2:$C$1000,"SELL",$A$2:$A$1000,"&lt;"&amp;A632),$A$2:$A$1000,"&lt;="&amp;A632),"")</f>
        <v/>
      </c>
    </row>
    <row r="633">
      <c r="A633" s="29" t="n"/>
      <c r="B633" s="30" t="n"/>
      <c r="C633" s="30" t="n"/>
      <c r="D633" s="31" t="n"/>
      <c r="E633" s="30" t="n"/>
      <c r="F633" s="32">
        <f>IF(AND(ISNUMBER(D633),ISNUMBER(E633)),D633*E633,"")</f>
        <v/>
      </c>
      <c r="G633" s="31" t="n"/>
      <c r="H633" s="32">
        <f>IF(C633="SELL",F633-SUMIFS($F$2:$F$1000,$B$2:$B$1000,B633,$C$2:$C$1000,"&lt;&gt;SELL",$A$2:$A$1000,"&gt;"&amp;_xlfn.MAXIFS($A$2:$A$1000,$B$2:$B$1000,B633,$C$2:$C$1000,"SELL",$A$2:$A$1000,"&lt;"&amp;A633),$A$2:$A$1000,"&lt;="&amp;A633),"")</f>
        <v/>
      </c>
    </row>
    <row r="634">
      <c r="A634" s="29" t="n"/>
      <c r="B634" s="30" t="n"/>
      <c r="C634" s="30" t="n"/>
      <c r="D634" s="31" t="n"/>
      <c r="E634" s="30" t="n"/>
      <c r="F634" s="32">
        <f>IF(AND(ISNUMBER(D634),ISNUMBER(E634)),D634*E634,"")</f>
        <v/>
      </c>
      <c r="G634" s="31" t="n"/>
      <c r="H634" s="32">
        <f>IF(C634="SELL",F634-SUMIFS($F$2:$F$1000,$B$2:$B$1000,B634,$C$2:$C$1000,"&lt;&gt;SELL",$A$2:$A$1000,"&gt;"&amp;_xlfn.MAXIFS($A$2:$A$1000,$B$2:$B$1000,B634,$C$2:$C$1000,"SELL",$A$2:$A$1000,"&lt;"&amp;A634),$A$2:$A$1000,"&lt;="&amp;A634),"")</f>
        <v/>
      </c>
    </row>
    <row r="635">
      <c r="A635" s="29" t="n"/>
      <c r="B635" s="30" t="n"/>
      <c r="C635" s="30" t="n"/>
      <c r="D635" s="31" t="n"/>
      <c r="E635" s="30" t="n"/>
      <c r="F635" s="32">
        <f>IF(AND(ISNUMBER(D635),ISNUMBER(E635)),D635*E635,"")</f>
        <v/>
      </c>
      <c r="G635" s="31" t="n"/>
      <c r="H635" s="32">
        <f>IF(C635="SELL",F635-SUMIFS($F$2:$F$1000,$B$2:$B$1000,B635,$C$2:$C$1000,"&lt;&gt;SELL",$A$2:$A$1000,"&gt;"&amp;_xlfn.MAXIFS($A$2:$A$1000,$B$2:$B$1000,B635,$C$2:$C$1000,"SELL",$A$2:$A$1000,"&lt;"&amp;A635),$A$2:$A$1000,"&lt;="&amp;A635),"")</f>
        <v/>
      </c>
    </row>
    <row r="636">
      <c r="A636" s="29" t="n"/>
      <c r="B636" s="30" t="n"/>
      <c r="C636" s="30" t="n"/>
      <c r="D636" s="31" t="n"/>
      <c r="E636" s="30" t="n"/>
      <c r="F636" s="32">
        <f>IF(AND(ISNUMBER(D636),ISNUMBER(E636)),D636*E636,"")</f>
        <v/>
      </c>
      <c r="G636" s="31" t="n"/>
      <c r="H636" s="32">
        <f>IF(C636="SELL",F636-SUMIFS($F$2:$F$1000,$B$2:$B$1000,B636,$C$2:$C$1000,"&lt;&gt;SELL",$A$2:$A$1000,"&gt;"&amp;_xlfn.MAXIFS($A$2:$A$1000,$B$2:$B$1000,B636,$C$2:$C$1000,"SELL",$A$2:$A$1000,"&lt;"&amp;A636),$A$2:$A$1000,"&lt;="&amp;A636),"")</f>
        <v/>
      </c>
    </row>
    <row r="637">
      <c r="A637" s="29" t="n"/>
      <c r="B637" s="30" t="n"/>
      <c r="C637" s="30" t="n"/>
      <c r="D637" s="31" t="n"/>
      <c r="E637" s="30" t="n"/>
      <c r="F637" s="32">
        <f>IF(AND(ISNUMBER(D637),ISNUMBER(E637)),D637*E637,"")</f>
        <v/>
      </c>
      <c r="G637" s="31" t="n"/>
      <c r="H637" s="32">
        <f>IF(C637="SELL",F637-SUMIFS($F$2:$F$1000,$B$2:$B$1000,B637,$C$2:$C$1000,"&lt;&gt;SELL",$A$2:$A$1000,"&gt;"&amp;_xlfn.MAXIFS($A$2:$A$1000,$B$2:$B$1000,B637,$C$2:$C$1000,"SELL",$A$2:$A$1000,"&lt;"&amp;A637),$A$2:$A$1000,"&lt;="&amp;A637),"")</f>
        <v/>
      </c>
    </row>
    <row r="638">
      <c r="A638" s="29" t="n"/>
      <c r="B638" s="30" t="n"/>
      <c r="C638" s="30" t="n"/>
      <c r="D638" s="31" t="n"/>
      <c r="E638" s="30" t="n"/>
      <c r="F638" s="32">
        <f>IF(AND(ISNUMBER(D638),ISNUMBER(E638)),D638*E638,"")</f>
        <v/>
      </c>
      <c r="G638" s="31" t="n"/>
      <c r="H638" s="32">
        <f>IF(C638="SELL",F638-SUMIFS($F$2:$F$1000,$B$2:$B$1000,B638,$C$2:$C$1000,"&lt;&gt;SELL",$A$2:$A$1000,"&gt;"&amp;_xlfn.MAXIFS($A$2:$A$1000,$B$2:$B$1000,B638,$C$2:$C$1000,"SELL",$A$2:$A$1000,"&lt;"&amp;A638),$A$2:$A$1000,"&lt;="&amp;A638),"")</f>
        <v/>
      </c>
    </row>
    <row r="639">
      <c r="A639" s="29" t="n"/>
      <c r="B639" s="30" t="n"/>
      <c r="C639" s="30" t="n"/>
      <c r="D639" s="31" t="n"/>
      <c r="E639" s="30" t="n"/>
      <c r="F639" s="32">
        <f>IF(AND(ISNUMBER(D639),ISNUMBER(E639)),D639*E639,"")</f>
        <v/>
      </c>
      <c r="G639" s="31" t="n"/>
      <c r="H639" s="32">
        <f>IF(C639="SELL",F639-SUMIFS($F$2:$F$1000,$B$2:$B$1000,B639,$C$2:$C$1000,"&lt;&gt;SELL",$A$2:$A$1000,"&gt;"&amp;_xlfn.MAXIFS($A$2:$A$1000,$B$2:$B$1000,B639,$C$2:$C$1000,"SELL",$A$2:$A$1000,"&lt;"&amp;A639),$A$2:$A$1000,"&lt;="&amp;A639),"")</f>
        <v/>
      </c>
    </row>
    <row r="640">
      <c r="A640" s="29" t="n"/>
      <c r="B640" s="30" t="n"/>
      <c r="C640" s="30" t="n"/>
      <c r="D640" s="31" t="n"/>
      <c r="E640" s="30" t="n"/>
      <c r="F640" s="32">
        <f>IF(AND(ISNUMBER(D640),ISNUMBER(E640)),D640*E640,"")</f>
        <v/>
      </c>
      <c r="G640" s="31" t="n"/>
      <c r="H640" s="32">
        <f>IF(C640="SELL",F640-SUMIFS($F$2:$F$1000,$B$2:$B$1000,B640,$C$2:$C$1000,"&lt;&gt;SELL",$A$2:$A$1000,"&gt;"&amp;_xlfn.MAXIFS($A$2:$A$1000,$B$2:$B$1000,B640,$C$2:$C$1000,"SELL",$A$2:$A$1000,"&lt;"&amp;A640),$A$2:$A$1000,"&lt;="&amp;A640),"")</f>
        <v/>
      </c>
    </row>
    <row r="641">
      <c r="A641" s="29" t="n"/>
      <c r="B641" s="30" t="n"/>
      <c r="C641" s="30" t="n"/>
      <c r="D641" s="31" t="n"/>
      <c r="E641" s="30" t="n"/>
      <c r="F641" s="32">
        <f>IF(AND(ISNUMBER(D641),ISNUMBER(E641)),D641*E641,"")</f>
        <v/>
      </c>
      <c r="G641" s="31" t="n"/>
      <c r="H641" s="32">
        <f>IF(C641="SELL",F641-SUMIFS($F$2:$F$1000,$B$2:$B$1000,B641,$C$2:$C$1000,"&lt;&gt;SELL",$A$2:$A$1000,"&gt;"&amp;_xlfn.MAXIFS($A$2:$A$1000,$B$2:$B$1000,B641,$C$2:$C$1000,"SELL",$A$2:$A$1000,"&lt;"&amp;A641),$A$2:$A$1000,"&lt;="&amp;A641),"")</f>
        <v/>
      </c>
    </row>
    <row r="642">
      <c r="A642" s="29" t="n"/>
      <c r="B642" s="30" t="n"/>
      <c r="C642" s="30" t="n"/>
      <c r="D642" s="31" t="n"/>
      <c r="E642" s="30" t="n"/>
      <c r="F642" s="32">
        <f>IF(AND(ISNUMBER(D642),ISNUMBER(E642)),D642*E642,"")</f>
        <v/>
      </c>
      <c r="G642" s="31" t="n"/>
      <c r="H642" s="32">
        <f>IF(C642="SELL",F642-SUMIFS($F$2:$F$1000,$B$2:$B$1000,B642,$C$2:$C$1000,"&lt;&gt;SELL",$A$2:$A$1000,"&gt;"&amp;_xlfn.MAXIFS($A$2:$A$1000,$B$2:$B$1000,B642,$C$2:$C$1000,"SELL",$A$2:$A$1000,"&lt;"&amp;A642),$A$2:$A$1000,"&lt;="&amp;A642),"")</f>
        <v/>
      </c>
    </row>
    <row r="643">
      <c r="A643" s="29" t="n"/>
      <c r="B643" s="30" t="n"/>
      <c r="C643" s="30" t="n"/>
      <c r="D643" s="31" t="n"/>
      <c r="E643" s="30" t="n"/>
      <c r="F643" s="32">
        <f>IF(AND(ISNUMBER(D643),ISNUMBER(E643)),D643*E643,"")</f>
        <v/>
      </c>
      <c r="G643" s="31" t="n"/>
      <c r="H643" s="32">
        <f>IF(C643="SELL",F643-SUMIFS($F$2:$F$1000,$B$2:$B$1000,B643,$C$2:$C$1000,"&lt;&gt;SELL",$A$2:$A$1000,"&gt;"&amp;_xlfn.MAXIFS($A$2:$A$1000,$B$2:$B$1000,B643,$C$2:$C$1000,"SELL",$A$2:$A$1000,"&lt;"&amp;A643),$A$2:$A$1000,"&lt;="&amp;A643),"")</f>
        <v/>
      </c>
    </row>
    <row r="644">
      <c r="A644" s="29" t="n"/>
      <c r="B644" s="30" t="n"/>
      <c r="C644" s="30" t="n"/>
      <c r="D644" s="31" t="n"/>
      <c r="E644" s="30" t="n"/>
      <c r="F644" s="32">
        <f>IF(AND(ISNUMBER(D644),ISNUMBER(E644)),D644*E644,"")</f>
        <v/>
      </c>
      <c r="G644" s="31" t="n"/>
      <c r="H644" s="32">
        <f>IF(C644="SELL",F644-SUMIFS($F$2:$F$1000,$B$2:$B$1000,B644,$C$2:$C$1000,"&lt;&gt;SELL",$A$2:$A$1000,"&gt;"&amp;_xlfn.MAXIFS($A$2:$A$1000,$B$2:$B$1000,B644,$C$2:$C$1000,"SELL",$A$2:$A$1000,"&lt;"&amp;A644),$A$2:$A$1000,"&lt;="&amp;A644),"")</f>
        <v/>
      </c>
    </row>
    <row r="645">
      <c r="A645" s="29" t="n"/>
      <c r="B645" s="30" t="n"/>
      <c r="C645" s="30" t="n"/>
      <c r="D645" s="31" t="n"/>
      <c r="E645" s="30" t="n"/>
      <c r="F645" s="32">
        <f>IF(AND(ISNUMBER(D645),ISNUMBER(E645)),D645*E645,"")</f>
        <v/>
      </c>
      <c r="G645" s="31" t="n"/>
      <c r="H645" s="32">
        <f>IF(C645="SELL",F645-SUMIFS($F$2:$F$1000,$B$2:$B$1000,B645,$C$2:$C$1000,"&lt;&gt;SELL",$A$2:$A$1000,"&gt;"&amp;_xlfn.MAXIFS($A$2:$A$1000,$B$2:$B$1000,B645,$C$2:$C$1000,"SELL",$A$2:$A$1000,"&lt;"&amp;A645),$A$2:$A$1000,"&lt;="&amp;A645),"")</f>
        <v/>
      </c>
    </row>
    <row r="646">
      <c r="A646" s="29" t="n"/>
      <c r="B646" s="30" t="n"/>
      <c r="C646" s="30" t="n"/>
      <c r="D646" s="31" t="n"/>
      <c r="E646" s="30" t="n"/>
      <c r="F646" s="32">
        <f>IF(AND(ISNUMBER(D646),ISNUMBER(E646)),D646*E646,"")</f>
        <v/>
      </c>
      <c r="G646" s="31" t="n"/>
      <c r="H646" s="32">
        <f>IF(C646="SELL",F646-SUMIFS($F$2:$F$1000,$B$2:$B$1000,B646,$C$2:$C$1000,"&lt;&gt;SELL",$A$2:$A$1000,"&gt;"&amp;_xlfn.MAXIFS($A$2:$A$1000,$B$2:$B$1000,B646,$C$2:$C$1000,"SELL",$A$2:$A$1000,"&lt;"&amp;A646),$A$2:$A$1000,"&lt;="&amp;A646),"")</f>
        <v/>
      </c>
    </row>
    <row r="647">
      <c r="A647" s="29" t="n"/>
      <c r="B647" s="30" t="n"/>
      <c r="C647" s="30" t="n"/>
      <c r="D647" s="31" t="n"/>
      <c r="E647" s="30" t="n"/>
      <c r="F647" s="32">
        <f>IF(AND(ISNUMBER(D647),ISNUMBER(E647)),D647*E647,"")</f>
        <v/>
      </c>
      <c r="G647" s="31" t="n"/>
      <c r="H647" s="32">
        <f>IF(C647="SELL",F647-SUMIFS($F$2:$F$1000,$B$2:$B$1000,B647,$C$2:$C$1000,"&lt;&gt;SELL",$A$2:$A$1000,"&gt;"&amp;_xlfn.MAXIFS($A$2:$A$1000,$B$2:$B$1000,B647,$C$2:$C$1000,"SELL",$A$2:$A$1000,"&lt;"&amp;A647),$A$2:$A$1000,"&lt;="&amp;A647),"")</f>
        <v/>
      </c>
    </row>
    <row r="648">
      <c r="A648" s="29" t="n"/>
      <c r="B648" s="30" t="n"/>
      <c r="C648" s="30" t="n"/>
      <c r="D648" s="31" t="n"/>
      <c r="E648" s="30" t="n"/>
      <c r="F648" s="32">
        <f>IF(AND(ISNUMBER(D648),ISNUMBER(E648)),D648*E648,"")</f>
        <v/>
      </c>
      <c r="G648" s="31" t="n"/>
      <c r="H648" s="32">
        <f>IF(C648="SELL",F648-SUMIFS($F$2:$F$1000,$B$2:$B$1000,B648,$C$2:$C$1000,"&lt;&gt;SELL",$A$2:$A$1000,"&gt;"&amp;_xlfn.MAXIFS($A$2:$A$1000,$B$2:$B$1000,B648,$C$2:$C$1000,"SELL",$A$2:$A$1000,"&lt;"&amp;A648),$A$2:$A$1000,"&lt;="&amp;A648),"")</f>
        <v/>
      </c>
    </row>
    <row r="649">
      <c r="A649" s="29" t="n"/>
      <c r="B649" s="30" t="n"/>
      <c r="C649" s="30" t="n"/>
      <c r="D649" s="31" t="n"/>
      <c r="E649" s="30" t="n"/>
      <c r="F649" s="32">
        <f>IF(AND(ISNUMBER(D649),ISNUMBER(E649)),D649*E649,"")</f>
        <v/>
      </c>
      <c r="G649" s="31" t="n"/>
      <c r="H649" s="32">
        <f>IF(C649="SELL",F649-SUMIFS($F$2:$F$1000,$B$2:$B$1000,B649,$C$2:$C$1000,"&lt;&gt;SELL",$A$2:$A$1000,"&gt;"&amp;_xlfn.MAXIFS($A$2:$A$1000,$B$2:$B$1000,B649,$C$2:$C$1000,"SELL",$A$2:$A$1000,"&lt;"&amp;A649),$A$2:$A$1000,"&lt;="&amp;A649),"")</f>
        <v/>
      </c>
    </row>
    <row r="650">
      <c r="A650" s="29" t="n"/>
      <c r="B650" s="30" t="n"/>
      <c r="C650" s="30" t="n"/>
      <c r="D650" s="31" t="n"/>
      <c r="E650" s="30" t="n"/>
      <c r="F650" s="32">
        <f>IF(AND(ISNUMBER(D650),ISNUMBER(E650)),D650*E650,"")</f>
        <v/>
      </c>
      <c r="G650" s="31" t="n"/>
      <c r="H650" s="32">
        <f>IF(C650="SELL",F650-SUMIFS($F$2:$F$1000,$B$2:$B$1000,B650,$C$2:$C$1000,"&lt;&gt;SELL",$A$2:$A$1000,"&gt;"&amp;_xlfn.MAXIFS($A$2:$A$1000,$B$2:$B$1000,B650,$C$2:$C$1000,"SELL",$A$2:$A$1000,"&lt;"&amp;A650),$A$2:$A$1000,"&lt;="&amp;A650),"")</f>
        <v/>
      </c>
    </row>
    <row r="651">
      <c r="A651" s="29" t="n"/>
      <c r="B651" s="30" t="n"/>
      <c r="C651" s="30" t="n"/>
      <c r="D651" s="31" t="n"/>
      <c r="E651" s="30" t="n"/>
      <c r="F651" s="32">
        <f>IF(AND(ISNUMBER(D651),ISNUMBER(E651)),D651*E651,"")</f>
        <v/>
      </c>
      <c r="G651" s="31" t="n"/>
      <c r="H651" s="32">
        <f>IF(C651="SELL",F651-SUMIFS($F$2:$F$1000,$B$2:$B$1000,B651,$C$2:$C$1000,"&lt;&gt;SELL",$A$2:$A$1000,"&gt;"&amp;_xlfn.MAXIFS($A$2:$A$1000,$B$2:$B$1000,B651,$C$2:$C$1000,"SELL",$A$2:$A$1000,"&lt;"&amp;A651),$A$2:$A$1000,"&lt;="&amp;A651),"")</f>
        <v/>
      </c>
    </row>
    <row r="652">
      <c r="A652" s="29" t="n"/>
      <c r="B652" s="30" t="n"/>
      <c r="C652" s="30" t="n"/>
      <c r="D652" s="31" t="n"/>
      <c r="E652" s="30" t="n"/>
      <c r="F652" s="32">
        <f>IF(AND(ISNUMBER(D652),ISNUMBER(E652)),D652*E652,"")</f>
        <v/>
      </c>
      <c r="G652" s="31" t="n"/>
      <c r="H652" s="32">
        <f>IF(C652="SELL",F652-SUMIFS($F$2:$F$1000,$B$2:$B$1000,B652,$C$2:$C$1000,"&lt;&gt;SELL",$A$2:$A$1000,"&gt;"&amp;_xlfn.MAXIFS($A$2:$A$1000,$B$2:$B$1000,B652,$C$2:$C$1000,"SELL",$A$2:$A$1000,"&lt;"&amp;A652),$A$2:$A$1000,"&lt;="&amp;A652),"")</f>
        <v/>
      </c>
    </row>
    <row r="653">
      <c r="A653" s="29" t="n"/>
      <c r="B653" s="30" t="n"/>
      <c r="C653" s="30" t="n"/>
      <c r="D653" s="31" t="n"/>
      <c r="E653" s="30" t="n"/>
      <c r="F653" s="32">
        <f>IF(AND(ISNUMBER(D653),ISNUMBER(E653)),D653*E653,"")</f>
        <v/>
      </c>
      <c r="G653" s="31" t="n"/>
      <c r="H653" s="32">
        <f>IF(C653="SELL",F653-SUMIFS($F$2:$F$1000,$B$2:$B$1000,B653,$C$2:$C$1000,"&lt;&gt;SELL",$A$2:$A$1000,"&gt;"&amp;_xlfn.MAXIFS($A$2:$A$1000,$B$2:$B$1000,B653,$C$2:$C$1000,"SELL",$A$2:$A$1000,"&lt;"&amp;A653),$A$2:$A$1000,"&lt;="&amp;A653),"")</f>
        <v/>
      </c>
    </row>
    <row r="654">
      <c r="A654" s="29" t="n"/>
      <c r="B654" s="30" t="n"/>
      <c r="C654" s="30" t="n"/>
      <c r="D654" s="31" t="n"/>
      <c r="E654" s="30" t="n"/>
      <c r="F654" s="32">
        <f>IF(AND(ISNUMBER(D654),ISNUMBER(E654)),D654*E654,"")</f>
        <v/>
      </c>
      <c r="G654" s="31" t="n"/>
      <c r="H654" s="32">
        <f>IF(C654="SELL",F654-SUMIFS($F$2:$F$1000,$B$2:$B$1000,B654,$C$2:$C$1000,"&lt;&gt;SELL",$A$2:$A$1000,"&gt;"&amp;_xlfn.MAXIFS($A$2:$A$1000,$B$2:$B$1000,B654,$C$2:$C$1000,"SELL",$A$2:$A$1000,"&lt;"&amp;A654),$A$2:$A$1000,"&lt;="&amp;A654),"")</f>
        <v/>
      </c>
    </row>
    <row r="655">
      <c r="A655" s="29" t="n"/>
      <c r="B655" s="30" t="n"/>
      <c r="C655" s="30" t="n"/>
      <c r="D655" s="31" t="n"/>
      <c r="E655" s="30" t="n"/>
      <c r="F655" s="32">
        <f>IF(AND(ISNUMBER(D655),ISNUMBER(E655)),D655*E655,"")</f>
        <v/>
      </c>
      <c r="G655" s="31" t="n"/>
      <c r="H655" s="32">
        <f>IF(C655="SELL",F655-SUMIFS($F$2:$F$1000,$B$2:$B$1000,B655,$C$2:$C$1000,"&lt;&gt;SELL",$A$2:$A$1000,"&gt;"&amp;_xlfn.MAXIFS($A$2:$A$1000,$B$2:$B$1000,B655,$C$2:$C$1000,"SELL",$A$2:$A$1000,"&lt;"&amp;A655),$A$2:$A$1000,"&lt;="&amp;A655),"")</f>
        <v/>
      </c>
    </row>
    <row r="656">
      <c r="A656" s="29" t="n"/>
      <c r="B656" s="30" t="n"/>
      <c r="C656" s="30" t="n"/>
      <c r="D656" s="31" t="n"/>
      <c r="E656" s="30" t="n"/>
      <c r="F656" s="32">
        <f>IF(AND(ISNUMBER(D656),ISNUMBER(E656)),D656*E656,"")</f>
        <v/>
      </c>
      <c r="G656" s="31" t="n"/>
      <c r="H656" s="32">
        <f>IF(C656="SELL",F656-SUMIFS($F$2:$F$1000,$B$2:$B$1000,B656,$C$2:$C$1000,"&lt;&gt;SELL",$A$2:$A$1000,"&gt;"&amp;_xlfn.MAXIFS($A$2:$A$1000,$B$2:$B$1000,B656,$C$2:$C$1000,"SELL",$A$2:$A$1000,"&lt;"&amp;A656),$A$2:$A$1000,"&lt;="&amp;A656),"")</f>
        <v/>
      </c>
    </row>
    <row r="657">
      <c r="A657" s="29" t="n"/>
      <c r="B657" s="30" t="n"/>
      <c r="C657" s="30" t="n"/>
      <c r="D657" s="31" t="n"/>
      <c r="E657" s="30" t="n"/>
      <c r="F657" s="32">
        <f>IF(AND(ISNUMBER(D657),ISNUMBER(E657)),D657*E657,"")</f>
        <v/>
      </c>
      <c r="G657" s="31" t="n"/>
      <c r="H657" s="32">
        <f>IF(C657="SELL",F657-SUMIFS($F$2:$F$1000,$B$2:$B$1000,B657,$C$2:$C$1000,"&lt;&gt;SELL",$A$2:$A$1000,"&gt;"&amp;_xlfn.MAXIFS($A$2:$A$1000,$B$2:$B$1000,B657,$C$2:$C$1000,"SELL",$A$2:$A$1000,"&lt;"&amp;A657),$A$2:$A$1000,"&lt;="&amp;A657),"")</f>
        <v/>
      </c>
    </row>
    <row r="658">
      <c r="A658" s="29" t="n"/>
      <c r="B658" s="30" t="n"/>
      <c r="C658" s="30" t="n"/>
      <c r="D658" s="31" t="n"/>
      <c r="E658" s="30" t="n"/>
      <c r="F658" s="32">
        <f>IF(AND(ISNUMBER(D658),ISNUMBER(E658)),D658*E658,"")</f>
        <v/>
      </c>
      <c r="G658" s="31" t="n"/>
      <c r="H658" s="32">
        <f>IF(C658="SELL",F658-SUMIFS($F$2:$F$1000,$B$2:$B$1000,B658,$C$2:$C$1000,"&lt;&gt;SELL",$A$2:$A$1000,"&gt;"&amp;_xlfn.MAXIFS($A$2:$A$1000,$B$2:$B$1000,B658,$C$2:$C$1000,"SELL",$A$2:$A$1000,"&lt;"&amp;A658),$A$2:$A$1000,"&lt;="&amp;A658),"")</f>
        <v/>
      </c>
    </row>
    <row r="659">
      <c r="A659" s="29" t="n"/>
      <c r="B659" s="30" t="n"/>
      <c r="C659" s="30" t="n"/>
      <c r="D659" s="31" t="n"/>
      <c r="E659" s="30" t="n"/>
      <c r="F659" s="32">
        <f>IF(AND(ISNUMBER(D659),ISNUMBER(E659)),D659*E659,"")</f>
        <v/>
      </c>
      <c r="G659" s="31" t="n"/>
      <c r="H659" s="32">
        <f>IF(C659="SELL",F659-SUMIFS($F$2:$F$1000,$B$2:$B$1000,B659,$C$2:$C$1000,"&lt;&gt;SELL",$A$2:$A$1000,"&gt;"&amp;_xlfn.MAXIFS($A$2:$A$1000,$B$2:$B$1000,B659,$C$2:$C$1000,"SELL",$A$2:$A$1000,"&lt;"&amp;A659),$A$2:$A$1000,"&lt;="&amp;A659),"")</f>
        <v/>
      </c>
    </row>
    <row r="660">
      <c r="A660" s="29" t="n"/>
      <c r="B660" s="30" t="n"/>
      <c r="C660" s="30" t="n"/>
      <c r="D660" s="31" t="n"/>
      <c r="E660" s="30" t="n"/>
      <c r="F660" s="32">
        <f>IF(AND(ISNUMBER(D660),ISNUMBER(E660)),D660*E660,"")</f>
        <v/>
      </c>
      <c r="G660" s="31" t="n"/>
      <c r="H660" s="32">
        <f>IF(C660="SELL",F660-SUMIFS($F$2:$F$1000,$B$2:$B$1000,B660,$C$2:$C$1000,"&lt;&gt;SELL",$A$2:$A$1000,"&gt;"&amp;_xlfn.MAXIFS($A$2:$A$1000,$B$2:$B$1000,B660,$C$2:$C$1000,"SELL",$A$2:$A$1000,"&lt;"&amp;A660),$A$2:$A$1000,"&lt;="&amp;A660),"")</f>
        <v/>
      </c>
    </row>
    <row r="661">
      <c r="A661" s="29" t="n"/>
      <c r="B661" s="30" t="n"/>
      <c r="C661" s="30" t="n"/>
      <c r="D661" s="31" t="n"/>
      <c r="E661" s="30" t="n"/>
      <c r="F661" s="32">
        <f>IF(AND(ISNUMBER(D661),ISNUMBER(E661)),D661*E661,"")</f>
        <v/>
      </c>
      <c r="G661" s="31" t="n"/>
      <c r="H661" s="32">
        <f>IF(C661="SELL",F661-SUMIFS($F$2:$F$1000,$B$2:$B$1000,B661,$C$2:$C$1000,"&lt;&gt;SELL",$A$2:$A$1000,"&gt;"&amp;_xlfn.MAXIFS($A$2:$A$1000,$B$2:$B$1000,B661,$C$2:$C$1000,"SELL",$A$2:$A$1000,"&lt;"&amp;A661),$A$2:$A$1000,"&lt;="&amp;A661),"")</f>
        <v/>
      </c>
    </row>
    <row r="662">
      <c r="A662" s="29" t="n"/>
      <c r="B662" s="30" t="n"/>
      <c r="C662" s="30" t="n"/>
      <c r="D662" s="31" t="n"/>
      <c r="E662" s="30" t="n"/>
      <c r="F662" s="32">
        <f>IF(AND(ISNUMBER(D662),ISNUMBER(E662)),D662*E662,"")</f>
        <v/>
      </c>
      <c r="G662" s="31" t="n"/>
      <c r="H662" s="32">
        <f>IF(C662="SELL",F662-SUMIFS($F$2:$F$1000,$B$2:$B$1000,B662,$C$2:$C$1000,"&lt;&gt;SELL",$A$2:$A$1000,"&gt;"&amp;_xlfn.MAXIFS($A$2:$A$1000,$B$2:$B$1000,B662,$C$2:$C$1000,"SELL",$A$2:$A$1000,"&lt;"&amp;A662),$A$2:$A$1000,"&lt;="&amp;A662),"")</f>
        <v/>
      </c>
    </row>
    <row r="663">
      <c r="A663" s="29" t="n"/>
      <c r="B663" s="30" t="n"/>
      <c r="C663" s="30" t="n"/>
      <c r="D663" s="31" t="n"/>
      <c r="E663" s="30" t="n"/>
      <c r="F663" s="32">
        <f>IF(AND(ISNUMBER(D663),ISNUMBER(E663)),D663*E663,"")</f>
        <v/>
      </c>
      <c r="G663" s="31" t="n"/>
      <c r="H663" s="32">
        <f>IF(C663="SELL",F663-SUMIFS($F$2:$F$1000,$B$2:$B$1000,B663,$C$2:$C$1000,"&lt;&gt;SELL",$A$2:$A$1000,"&gt;"&amp;_xlfn.MAXIFS($A$2:$A$1000,$B$2:$B$1000,B663,$C$2:$C$1000,"SELL",$A$2:$A$1000,"&lt;"&amp;A663),$A$2:$A$1000,"&lt;="&amp;A663),"")</f>
        <v/>
      </c>
    </row>
    <row r="664">
      <c r="A664" s="29" t="n"/>
      <c r="B664" s="30" t="n"/>
      <c r="C664" s="30" t="n"/>
      <c r="D664" s="31" t="n"/>
      <c r="E664" s="30" t="n"/>
      <c r="F664" s="32">
        <f>IF(AND(ISNUMBER(D664),ISNUMBER(E664)),D664*E664,"")</f>
        <v/>
      </c>
      <c r="G664" s="31" t="n"/>
      <c r="H664" s="32">
        <f>IF(C664="SELL",F664-SUMIFS($F$2:$F$1000,$B$2:$B$1000,B664,$C$2:$C$1000,"&lt;&gt;SELL",$A$2:$A$1000,"&gt;"&amp;_xlfn.MAXIFS($A$2:$A$1000,$B$2:$B$1000,B664,$C$2:$C$1000,"SELL",$A$2:$A$1000,"&lt;"&amp;A664),$A$2:$A$1000,"&lt;="&amp;A664),"")</f>
        <v/>
      </c>
    </row>
    <row r="665">
      <c r="A665" s="29" t="n"/>
      <c r="B665" s="30" t="n"/>
      <c r="C665" s="30" t="n"/>
      <c r="D665" s="31" t="n"/>
      <c r="E665" s="30" t="n"/>
      <c r="F665" s="32">
        <f>IF(AND(ISNUMBER(D665),ISNUMBER(E665)),D665*E665,"")</f>
        <v/>
      </c>
      <c r="G665" s="31" t="n"/>
      <c r="H665" s="32">
        <f>IF(C665="SELL",F665-SUMIFS($F$2:$F$1000,$B$2:$B$1000,B665,$C$2:$C$1000,"&lt;&gt;SELL",$A$2:$A$1000,"&gt;"&amp;_xlfn.MAXIFS($A$2:$A$1000,$B$2:$B$1000,B665,$C$2:$C$1000,"SELL",$A$2:$A$1000,"&lt;"&amp;A665),$A$2:$A$1000,"&lt;="&amp;A665),"")</f>
        <v/>
      </c>
    </row>
    <row r="666">
      <c r="A666" s="29" t="n"/>
      <c r="B666" s="30" t="n"/>
      <c r="C666" s="30" t="n"/>
      <c r="D666" s="31" t="n"/>
      <c r="E666" s="30" t="n"/>
      <c r="F666" s="32">
        <f>IF(AND(ISNUMBER(D666),ISNUMBER(E666)),D666*E666,"")</f>
        <v/>
      </c>
      <c r="G666" s="31" t="n"/>
      <c r="H666" s="32">
        <f>IF(C666="SELL",F666-SUMIFS($F$2:$F$1000,$B$2:$B$1000,B666,$C$2:$C$1000,"&lt;&gt;SELL",$A$2:$A$1000,"&gt;"&amp;_xlfn.MAXIFS($A$2:$A$1000,$B$2:$B$1000,B666,$C$2:$C$1000,"SELL",$A$2:$A$1000,"&lt;"&amp;A666),$A$2:$A$1000,"&lt;="&amp;A666),"")</f>
        <v/>
      </c>
    </row>
    <row r="667">
      <c r="A667" s="29" t="n"/>
      <c r="B667" s="30" t="n"/>
      <c r="C667" s="30" t="n"/>
      <c r="D667" s="31" t="n"/>
      <c r="E667" s="30" t="n"/>
      <c r="F667" s="32">
        <f>IF(AND(ISNUMBER(D667),ISNUMBER(E667)),D667*E667,"")</f>
        <v/>
      </c>
      <c r="G667" s="31" t="n"/>
      <c r="H667" s="32">
        <f>IF(C667="SELL",F667-SUMIFS($F$2:$F$1000,$B$2:$B$1000,B667,$C$2:$C$1000,"&lt;&gt;SELL",$A$2:$A$1000,"&gt;"&amp;_xlfn.MAXIFS($A$2:$A$1000,$B$2:$B$1000,B667,$C$2:$C$1000,"SELL",$A$2:$A$1000,"&lt;"&amp;A667),$A$2:$A$1000,"&lt;="&amp;A667),"")</f>
        <v/>
      </c>
    </row>
    <row r="668">
      <c r="A668" s="29" t="n"/>
      <c r="B668" s="30" t="n"/>
      <c r="C668" s="30" t="n"/>
      <c r="D668" s="31" t="n"/>
      <c r="E668" s="30" t="n"/>
      <c r="F668" s="32">
        <f>IF(AND(ISNUMBER(D668),ISNUMBER(E668)),D668*E668,"")</f>
        <v/>
      </c>
      <c r="G668" s="31" t="n"/>
      <c r="H668" s="32">
        <f>IF(C668="SELL",F668-SUMIFS($F$2:$F$1000,$B$2:$B$1000,B668,$C$2:$C$1000,"&lt;&gt;SELL",$A$2:$A$1000,"&gt;"&amp;_xlfn.MAXIFS($A$2:$A$1000,$B$2:$B$1000,B668,$C$2:$C$1000,"SELL",$A$2:$A$1000,"&lt;"&amp;A668),$A$2:$A$1000,"&lt;="&amp;A668),"")</f>
        <v/>
      </c>
    </row>
    <row r="669">
      <c r="A669" s="29" t="n"/>
      <c r="B669" s="30" t="n"/>
      <c r="C669" s="30" t="n"/>
      <c r="D669" s="31" t="n"/>
      <c r="E669" s="30" t="n"/>
      <c r="F669" s="32">
        <f>IF(AND(ISNUMBER(D669),ISNUMBER(E669)),D669*E669,"")</f>
        <v/>
      </c>
      <c r="G669" s="31" t="n"/>
      <c r="H669" s="32">
        <f>IF(C669="SELL",F669-SUMIFS($F$2:$F$1000,$B$2:$B$1000,B669,$C$2:$C$1000,"&lt;&gt;SELL",$A$2:$A$1000,"&gt;"&amp;_xlfn.MAXIFS($A$2:$A$1000,$B$2:$B$1000,B669,$C$2:$C$1000,"SELL",$A$2:$A$1000,"&lt;"&amp;A669),$A$2:$A$1000,"&lt;="&amp;A669),"")</f>
        <v/>
      </c>
    </row>
    <row r="670">
      <c r="A670" s="29" t="n"/>
      <c r="B670" s="30" t="n"/>
      <c r="C670" s="30" t="n"/>
      <c r="D670" s="31" t="n"/>
      <c r="E670" s="30" t="n"/>
      <c r="F670" s="32">
        <f>IF(AND(ISNUMBER(D670),ISNUMBER(E670)),D670*E670,"")</f>
        <v/>
      </c>
      <c r="G670" s="31" t="n"/>
      <c r="H670" s="32">
        <f>IF(C670="SELL",F670-SUMIFS($F$2:$F$1000,$B$2:$B$1000,B670,$C$2:$C$1000,"&lt;&gt;SELL",$A$2:$A$1000,"&gt;"&amp;_xlfn.MAXIFS($A$2:$A$1000,$B$2:$B$1000,B670,$C$2:$C$1000,"SELL",$A$2:$A$1000,"&lt;"&amp;A670),$A$2:$A$1000,"&lt;="&amp;A670),"")</f>
        <v/>
      </c>
    </row>
    <row r="671">
      <c r="A671" s="29" t="n"/>
      <c r="B671" s="30" t="n"/>
      <c r="C671" s="30" t="n"/>
      <c r="D671" s="31" t="n"/>
      <c r="E671" s="30" t="n"/>
      <c r="F671" s="32">
        <f>IF(AND(ISNUMBER(D671),ISNUMBER(E671)),D671*E671,"")</f>
        <v/>
      </c>
      <c r="G671" s="31" t="n"/>
      <c r="H671" s="32">
        <f>IF(C671="SELL",F671-SUMIFS($F$2:$F$1000,$B$2:$B$1000,B671,$C$2:$C$1000,"&lt;&gt;SELL",$A$2:$A$1000,"&gt;"&amp;_xlfn.MAXIFS($A$2:$A$1000,$B$2:$B$1000,B671,$C$2:$C$1000,"SELL",$A$2:$A$1000,"&lt;"&amp;A671),$A$2:$A$1000,"&lt;="&amp;A671),"")</f>
        <v/>
      </c>
    </row>
    <row r="672">
      <c r="A672" s="29" t="n"/>
      <c r="B672" s="30" t="n"/>
      <c r="C672" s="30" t="n"/>
      <c r="D672" s="31" t="n"/>
      <c r="E672" s="30" t="n"/>
      <c r="F672" s="32">
        <f>IF(AND(ISNUMBER(D672),ISNUMBER(E672)),D672*E672,"")</f>
        <v/>
      </c>
      <c r="G672" s="31" t="n"/>
      <c r="H672" s="32">
        <f>IF(C672="SELL",F672-SUMIFS($F$2:$F$1000,$B$2:$B$1000,B672,$C$2:$C$1000,"&lt;&gt;SELL",$A$2:$A$1000,"&gt;"&amp;_xlfn.MAXIFS($A$2:$A$1000,$B$2:$B$1000,B672,$C$2:$C$1000,"SELL",$A$2:$A$1000,"&lt;"&amp;A672),$A$2:$A$1000,"&lt;="&amp;A672),"")</f>
        <v/>
      </c>
    </row>
    <row r="673">
      <c r="A673" s="29" t="n"/>
      <c r="B673" s="30" t="n"/>
      <c r="C673" s="30" t="n"/>
      <c r="D673" s="31" t="n"/>
      <c r="E673" s="30" t="n"/>
      <c r="F673" s="32">
        <f>IF(AND(ISNUMBER(D673),ISNUMBER(E673)),D673*E673,"")</f>
        <v/>
      </c>
      <c r="G673" s="31" t="n"/>
      <c r="H673" s="32">
        <f>IF(C673="SELL",F673-SUMIFS($F$2:$F$1000,$B$2:$B$1000,B673,$C$2:$C$1000,"&lt;&gt;SELL",$A$2:$A$1000,"&gt;"&amp;_xlfn.MAXIFS($A$2:$A$1000,$B$2:$B$1000,B673,$C$2:$C$1000,"SELL",$A$2:$A$1000,"&lt;"&amp;A673),$A$2:$A$1000,"&lt;="&amp;A673),"")</f>
        <v/>
      </c>
    </row>
    <row r="674">
      <c r="A674" s="29" t="n"/>
      <c r="B674" s="30" t="n"/>
      <c r="C674" s="30" t="n"/>
      <c r="D674" s="31" t="n"/>
      <c r="E674" s="30" t="n"/>
      <c r="F674" s="32">
        <f>IF(AND(ISNUMBER(D674),ISNUMBER(E674)),D674*E674,"")</f>
        <v/>
      </c>
      <c r="G674" s="31" t="n"/>
      <c r="H674" s="32">
        <f>IF(C674="SELL",F674-SUMIFS($F$2:$F$1000,$B$2:$B$1000,B674,$C$2:$C$1000,"&lt;&gt;SELL",$A$2:$A$1000,"&gt;"&amp;_xlfn.MAXIFS($A$2:$A$1000,$B$2:$B$1000,B674,$C$2:$C$1000,"SELL",$A$2:$A$1000,"&lt;"&amp;A674),$A$2:$A$1000,"&lt;="&amp;A674),"")</f>
        <v/>
      </c>
    </row>
    <row r="675">
      <c r="A675" s="29" t="n"/>
      <c r="B675" s="30" t="n"/>
      <c r="C675" s="30" t="n"/>
      <c r="D675" s="31" t="n"/>
      <c r="E675" s="30" t="n"/>
      <c r="F675" s="32">
        <f>IF(AND(ISNUMBER(D675),ISNUMBER(E675)),D675*E675,"")</f>
        <v/>
      </c>
      <c r="G675" s="31" t="n"/>
      <c r="H675" s="32">
        <f>IF(C675="SELL",F675-SUMIFS($F$2:$F$1000,$B$2:$B$1000,B675,$C$2:$C$1000,"&lt;&gt;SELL",$A$2:$A$1000,"&gt;"&amp;_xlfn.MAXIFS($A$2:$A$1000,$B$2:$B$1000,B675,$C$2:$C$1000,"SELL",$A$2:$A$1000,"&lt;"&amp;A675),$A$2:$A$1000,"&lt;="&amp;A675),"")</f>
        <v/>
      </c>
    </row>
    <row r="676">
      <c r="A676" s="29" t="n"/>
      <c r="B676" s="30" t="n"/>
      <c r="C676" s="30" t="n"/>
      <c r="D676" s="31" t="n"/>
      <c r="E676" s="30" t="n"/>
      <c r="F676" s="32">
        <f>IF(AND(ISNUMBER(D676),ISNUMBER(E676)),D676*E676,"")</f>
        <v/>
      </c>
      <c r="G676" s="31" t="n"/>
      <c r="H676" s="32">
        <f>IF(C676="SELL",F676-SUMIFS($F$2:$F$1000,$B$2:$B$1000,B676,$C$2:$C$1000,"&lt;&gt;SELL",$A$2:$A$1000,"&gt;"&amp;_xlfn.MAXIFS($A$2:$A$1000,$B$2:$B$1000,B676,$C$2:$C$1000,"SELL",$A$2:$A$1000,"&lt;"&amp;A676),$A$2:$A$1000,"&lt;="&amp;A676),"")</f>
        <v/>
      </c>
    </row>
    <row r="677">
      <c r="A677" s="29" t="n"/>
      <c r="B677" s="30" t="n"/>
      <c r="C677" s="30" t="n"/>
      <c r="D677" s="31" t="n"/>
      <c r="E677" s="30" t="n"/>
      <c r="F677" s="32">
        <f>IF(AND(ISNUMBER(D677),ISNUMBER(E677)),D677*E677,"")</f>
        <v/>
      </c>
      <c r="G677" s="31" t="n"/>
      <c r="H677" s="32">
        <f>IF(C677="SELL",F677-SUMIFS($F$2:$F$1000,$B$2:$B$1000,B677,$C$2:$C$1000,"&lt;&gt;SELL",$A$2:$A$1000,"&gt;"&amp;_xlfn.MAXIFS($A$2:$A$1000,$B$2:$B$1000,B677,$C$2:$C$1000,"SELL",$A$2:$A$1000,"&lt;"&amp;A677),$A$2:$A$1000,"&lt;="&amp;A677),"")</f>
        <v/>
      </c>
    </row>
    <row r="678">
      <c r="A678" s="29" t="n"/>
      <c r="B678" s="30" t="n"/>
      <c r="C678" s="30" t="n"/>
      <c r="D678" s="31" t="n"/>
      <c r="E678" s="30" t="n"/>
      <c r="F678" s="32">
        <f>IF(AND(ISNUMBER(D678),ISNUMBER(E678)),D678*E678,"")</f>
        <v/>
      </c>
      <c r="G678" s="31" t="n"/>
      <c r="H678" s="32">
        <f>IF(C678="SELL",F678-SUMIFS($F$2:$F$1000,$B$2:$B$1000,B678,$C$2:$C$1000,"&lt;&gt;SELL",$A$2:$A$1000,"&gt;"&amp;_xlfn.MAXIFS($A$2:$A$1000,$B$2:$B$1000,B678,$C$2:$C$1000,"SELL",$A$2:$A$1000,"&lt;"&amp;A678),$A$2:$A$1000,"&lt;="&amp;A678),"")</f>
        <v/>
      </c>
    </row>
    <row r="679">
      <c r="A679" s="29" t="n"/>
      <c r="B679" s="30" t="n"/>
      <c r="C679" s="30" t="n"/>
      <c r="D679" s="31" t="n"/>
      <c r="E679" s="30" t="n"/>
      <c r="F679" s="32">
        <f>IF(AND(ISNUMBER(D679),ISNUMBER(E679)),D679*E679,"")</f>
        <v/>
      </c>
      <c r="G679" s="31" t="n"/>
      <c r="H679" s="32">
        <f>IF(C679="SELL",F679-SUMIFS($F$2:$F$1000,$B$2:$B$1000,B679,$C$2:$C$1000,"&lt;&gt;SELL",$A$2:$A$1000,"&gt;"&amp;_xlfn.MAXIFS($A$2:$A$1000,$B$2:$B$1000,B679,$C$2:$C$1000,"SELL",$A$2:$A$1000,"&lt;"&amp;A679),$A$2:$A$1000,"&lt;="&amp;A679),"")</f>
        <v/>
      </c>
    </row>
    <row r="680">
      <c r="A680" s="29" t="n"/>
      <c r="B680" s="30" t="n"/>
      <c r="C680" s="30" t="n"/>
      <c r="D680" s="31" t="n"/>
      <c r="E680" s="30" t="n"/>
      <c r="F680" s="32">
        <f>IF(AND(ISNUMBER(D680),ISNUMBER(E680)),D680*E680,"")</f>
        <v/>
      </c>
      <c r="G680" s="31" t="n"/>
      <c r="H680" s="32">
        <f>IF(C680="SELL",F680-SUMIFS($F$2:$F$1000,$B$2:$B$1000,B680,$C$2:$C$1000,"&lt;&gt;SELL",$A$2:$A$1000,"&gt;"&amp;_xlfn.MAXIFS($A$2:$A$1000,$B$2:$B$1000,B680,$C$2:$C$1000,"SELL",$A$2:$A$1000,"&lt;"&amp;A680),$A$2:$A$1000,"&lt;="&amp;A680),"")</f>
        <v/>
      </c>
    </row>
    <row r="681">
      <c r="A681" s="29" t="n"/>
      <c r="B681" s="30" t="n"/>
      <c r="C681" s="30" t="n"/>
      <c r="D681" s="31" t="n"/>
      <c r="E681" s="30" t="n"/>
      <c r="F681" s="32">
        <f>IF(AND(ISNUMBER(D681),ISNUMBER(E681)),D681*E681,"")</f>
        <v/>
      </c>
      <c r="G681" s="31" t="n"/>
      <c r="H681" s="32">
        <f>IF(C681="SELL",F681-SUMIFS($F$2:$F$1000,$B$2:$B$1000,B681,$C$2:$C$1000,"&lt;&gt;SELL",$A$2:$A$1000,"&gt;"&amp;_xlfn.MAXIFS($A$2:$A$1000,$B$2:$B$1000,B681,$C$2:$C$1000,"SELL",$A$2:$A$1000,"&lt;"&amp;A681),$A$2:$A$1000,"&lt;="&amp;A681),"")</f>
        <v/>
      </c>
    </row>
    <row r="682">
      <c r="A682" s="29" t="n"/>
      <c r="B682" s="30" t="n"/>
      <c r="C682" s="30" t="n"/>
      <c r="D682" s="31" t="n"/>
      <c r="E682" s="30" t="n"/>
      <c r="F682" s="32">
        <f>IF(AND(ISNUMBER(D682),ISNUMBER(E682)),D682*E682,"")</f>
        <v/>
      </c>
      <c r="G682" s="31" t="n"/>
      <c r="H682" s="32">
        <f>IF(C682="SELL",F682-SUMIFS($F$2:$F$1000,$B$2:$B$1000,B682,$C$2:$C$1000,"&lt;&gt;SELL",$A$2:$A$1000,"&gt;"&amp;_xlfn.MAXIFS($A$2:$A$1000,$B$2:$B$1000,B682,$C$2:$C$1000,"SELL",$A$2:$A$1000,"&lt;"&amp;A682),$A$2:$A$1000,"&lt;="&amp;A682),"")</f>
        <v/>
      </c>
    </row>
    <row r="683">
      <c r="A683" s="29" t="n"/>
      <c r="B683" s="30" t="n"/>
      <c r="C683" s="30" t="n"/>
      <c r="D683" s="31" t="n"/>
      <c r="E683" s="30" t="n"/>
      <c r="F683" s="32">
        <f>IF(AND(ISNUMBER(D683),ISNUMBER(E683)),D683*E683,"")</f>
        <v/>
      </c>
      <c r="G683" s="31" t="n"/>
      <c r="H683" s="32">
        <f>IF(C683="SELL",F683-SUMIFS($F$2:$F$1000,$B$2:$B$1000,B683,$C$2:$C$1000,"&lt;&gt;SELL",$A$2:$A$1000,"&gt;"&amp;_xlfn.MAXIFS($A$2:$A$1000,$B$2:$B$1000,B683,$C$2:$C$1000,"SELL",$A$2:$A$1000,"&lt;"&amp;A683),$A$2:$A$1000,"&lt;="&amp;A683),"")</f>
        <v/>
      </c>
    </row>
    <row r="684">
      <c r="A684" s="29" t="n"/>
      <c r="B684" s="30" t="n"/>
      <c r="C684" s="30" t="n"/>
      <c r="D684" s="31" t="n"/>
      <c r="E684" s="30" t="n"/>
      <c r="F684" s="32">
        <f>IF(AND(ISNUMBER(D684),ISNUMBER(E684)),D684*E684,"")</f>
        <v/>
      </c>
      <c r="G684" s="31" t="n"/>
      <c r="H684" s="32">
        <f>IF(C684="SELL",F684-SUMIFS($F$2:$F$1000,$B$2:$B$1000,B684,$C$2:$C$1000,"&lt;&gt;SELL",$A$2:$A$1000,"&gt;"&amp;_xlfn.MAXIFS($A$2:$A$1000,$B$2:$B$1000,B684,$C$2:$C$1000,"SELL",$A$2:$A$1000,"&lt;"&amp;A684),$A$2:$A$1000,"&lt;="&amp;A684),"")</f>
        <v/>
      </c>
    </row>
    <row r="685">
      <c r="A685" s="29" t="n"/>
      <c r="B685" s="30" t="n"/>
      <c r="C685" s="30" t="n"/>
      <c r="D685" s="31" t="n"/>
      <c r="E685" s="30" t="n"/>
      <c r="F685" s="32">
        <f>IF(AND(ISNUMBER(D685),ISNUMBER(E685)),D685*E685,"")</f>
        <v/>
      </c>
      <c r="G685" s="31" t="n"/>
      <c r="H685" s="32">
        <f>IF(C685="SELL",F685-SUMIFS($F$2:$F$1000,$B$2:$B$1000,B685,$C$2:$C$1000,"&lt;&gt;SELL",$A$2:$A$1000,"&gt;"&amp;_xlfn.MAXIFS($A$2:$A$1000,$B$2:$B$1000,B685,$C$2:$C$1000,"SELL",$A$2:$A$1000,"&lt;"&amp;A685),$A$2:$A$1000,"&lt;="&amp;A685),"")</f>
        <v/>
      </c>
    </row>
    <row r="686">
      <c r="A686" s="29" t="n"/>
      <c r="B686" s="30" t="n"/>
      <c r="C686" s="30" t="n"/>
      <c r="D686" s="31" t="n"/>
      <c r="E686" s="30" t="n"/>
      <c r="F686" s="32">
        <f>IF(AND(ISNUMBER(D686),ISNUMBER(E686)),D686*E686,"")</f>
        <v/>
      </c>
      <c r="G686" s="31" t="n"/>
      <c r="H686" s="32">
        <f>IF(C686="SELL",F686-SUMIFS($F$2:$F$1000,$B$2:$B$1000,B686,$C$2:$C$1000,"&lt;&gt;SELL",$A$2:$A$1000,"&gt;"&amp;_xlfn.MAXIFS($A$2:$A$1000,$B$2:$B$1000,B686,$C$2:$C$1000,"SELL",$A$2:$A$1000,"&lt;"&amp;A686),$A$2:$A$1000,"&lt;="&amp;A686),"")</f>
        <v/>
      </c>
    </row>
    <row r="687">
      <c r="A687" s="29" t="n"/>
      <c r="B687" s="30" t="n"/>
      <c r="C687" s="30" t="n"/>
      <c r="D687" s="31" t="n"/>
      <c r="E687" s="30" t="n"/>
      <c r="F687" s="32">
        <f>IF(AND(ISNUMBER(D687),ISNUMBER(E687)),D687*E687,"")</f>
        <v/>
      </c>
      <c r="G687" s="31" t="n"/>
      <c r="H687" s="32">
        <f>IF(C687="SELL",F687-SUMIFS($F$2:$F$1000,$B$2:$B$1000,B687,$C$2:$C$1000,"&lt;&gt;SELL",$A$2:$A$1000,"&gt;"&amp;_xlfn.MAXIFS($A$2:$A$1000,$B$2:$B$1000,B687,$C$2:$C$1000,"SELL",$A$2:$A$1000,"&lt;"&amp;A687),$A$2:$A$1000,"&lt;="&amp;A687),"")</f>
        <v/>
      </c>
    </row>
    <row r="688">
      <c r="A688" s="29" t="n"/>
      <c r="B688" s="30" t="n"/>
      <c r="C688" s="30" t="n"/>
      <c r="D688" s="31" t="n"/>
      <c r="E688" s="30" t="n"/>
      <c r="F688" s="32">
        <f>IF(AND(ISNUMBER(D688),ISNUMBER(E688)),D688*E688,"")</f>
        <v/>
      </c>
      <c r="G688" s="31" t="n"/>
      <c r="H688" s="32">
        <f>IF(C688="SELL",F688-SUMIFS($F$2:$F$1000,$B$2:$B$1000,B688,$C$2:$C$1000,"&lt;&gt;SELL",$A$2:$A$1000,"&gt;"&amp;_xlfn.MAXIFS($A$2:$A$1000,$B$2:$B$1000,B688,$C$2:$C$1000,"SELL",$A$2:$A$1000,"&lt;"&amp;A688),$A$2:$A$1000,"&lt;="&amp;A688),"")</f>
        <v/>
      </c>
    </row>
    <row r="689">
      <c r="A689" s="29" t="n"/>
      <c r="B689" s="30" t="n"/>
      <c r="C689" s="30" t="n"/>
      <c r="D689" s="31" t="n"/>
      <c r="E689" s="30" t="n"/>
      <c r="F689" s="32">
        <f>IF(AND(ISNUMBER(D689),ISNUMBER(E689)),D689*E689,"")</f>
        <v/>
      </c>
      <c r="G689" s="31" t="n"/>
      <c r="H689" s="32">
        <f>IF(C689="SELL",F689-SUMIFS($F$2:$F$1000,$B$2:$B$1000,B689,$C$2:$C$1000,"&lt;&gt;SELL",$A$2:$A$1000,"&gt;"&amp;_xlfn.MAXIFS($A$2:$A$1000,$B$2:$B$1000,B689,$C$2:$C$1000,"SELL",$A$2:$A$1000,"&lt;"&amp;A689),$A$2:$A$1000,"&lt;="&amp;A689),"")</f>
        <v/>
      </c>
    </row>
    <row r="690">
      <c r="A690" s="29" t="n"/>
      <c r="B690" s="30" t="n"/>
      <c r="C690" s="30" t="n"/>
      <c r="D690" s="31" t="n"/>
      <c r="E690" s="30" t="n"/>
      <c r="F690" s="32">
        <f>IF(AND(ISNUMBER(D690),ISNUMBER(E690)),D690*E690,"")</f>
        <v/>
      </c>
      <c r="G690" s="31" t="n"/>
      <c r="H690" s="32">
        <f>IF(C690="SELL",F690-SUMIFS($F$2:$F$1000,$B$2:$B$1000,B690,$C$2:$C$1000,"&lt;&gt;SELL",$A$2:$A$1000,"&gt;"&amp;_xlfn.MAXIFS($A$2:$A$1000,$B$2:$B$1000,B690,$C$2:$C$1000,"SELL",$A$2:$A$1000,"&lt;"&amp;A690),$A$2:$A$1000,"&lt;="&amp;A690),"")</f>
        <v/>
      </c>
    </row>
    <row r="691">
      <c r="A691" s="29" t="n"/>
      <c r="B691" s="30" t="n"/>
      <c r="C691" s="30" t="n"/>
      <c r="D691" s="31" t="n"/>
      <c r="E691" s="30" t="n"/>
      <c r="F691" s="32">
        <f>IF(AND(ISNUMBER(D691),ISNUMBER(E691)),D691*E691,"")</f>
        <v/>
      </c>
      <c r="G691" s="31" t="n"/>
      <c r="H691" s="32">
        <f>IF(C691="SELL",F691-SUMIFS($F$2:$F$1000,$B$2:$B$1000,B691,$C$2:$C$1000,"&lt;&gt;SELL",$A$2:$A$1000,"&gt;"&amp;_xlfn.MAXIFS($A$2:$A$1000,$B$2:$B$1000,B691,$C$2:$C$1000,"SELL",$A$2:$A$1000,"&lt;"&amp;A691),$A$2:$A$1000,"&lt;="&amp;A691),"")</f>
        <v/>
      </c>
    </row>
    <row r="692">
      <c r="A692" s="29" t="n"/>
      <c r="B692" s="30" t="n"/>
      <c r="C692" s="30" t="n"/>
      <c r="D692" s="31" t="n"/>
      <c r="E692" s="30" t="n"/>
      <c r="F692" s="32">
        <f>IF(AND(ISNUMBER(D692),ISNUMBER(E692)),D692*E692,"")</f>
        <v/>
      </c>
      <c r="G692" s="31" t="n"/>
      <c r="H692" s="32">
        <f>IF(C692="SELL",F692-SUMIFS($F$2:$F$1000,$B$2:$B$1000,B692,$C$2:$C$1000,"&lt;&gt;SELL",$A$2:$A$1000,"&gt;"&amp;_xlfn.MAXIFS($A$2:$A$1000,$B$2:$B$1000,B692,$C$2:$C$1000,"SELL",$A$2:$A$1000,"&lt;"&amp;A692),$A$2:$A$1000,"&lt;="&amp;A692),"")</f>
        <v/>
      </c>
    </row>
    <row r="693">
      <c r="A693" s="29" t="n"/>
      <c r="B693" s="30" t="n"/>
      <c r="C693" s="30" t="n"/>
      <c r="D693" s="31" t="n"/>
      <c r="E693" s="30" t="n"/>
      <c r="F693" s="32">
        <f>IF(AND(ISNUMBER(D693),ISNUMBER(E693)),D693*E693,"")</f>
        <v/>
      </c>
      <c r="G693" s="31" t="n"/>
      <c r="H693" s="32">
        <f>IF(C693="SELL",F693-SUMIFS($F$2:$F$1000,$B$2:$B$1000,B693,$C$2:$C$1000,"&lt;&gt;SELL",$A$2:$A$1000,"&gt;"&amp;_xlfn.MAXIFS($A$2:$A$1000,$B$2:$B$1000,B693,$C$2:$C$1000,"SELL",$A$2:$A$1000,"&lt;"&amp;A693),$A$2:$A$1000,"&lt;="&amp;A693),"")</f>
        <v/>
      </c>
    </row>
    <row r="694">
      <c r="A694" s="29" t="n"/>
      <c r="B694" s="30" t="n"/>
      <c r="C694" s="30" t="n"/>
      <c r="D694" s="31" t="n"/>
      <c r="E694" s="30" t="n"/>
      <c r="F694" s="32">
        <f>IF(AND(ISNUMBER(D694),ISNUMBER(E694)),D694*E694,"")</f>
        <v/>
      </c>
      <c r="G694" s="31" t="n"/>
      <c r="H694" s="32">
        <f>IF(C694="SELL",F694-SUMIFS($F$2:$F$1000,$B$2:$B$1000,B694,$C$2:$C$1000,"&lt;&gt;SELL",$A$2:$A$1000,"&gt;"&amp;_xlfn.MAXIFS($A$2:$A$1000,$B$2:$B$1000,B694,$C$2:$C$1000,"SELL",$A$2:$A$1000,"&lt;"&amp;A694),$A$2:$A$1000,"&lt;="&amp;A694),"")</f>
        <v/>
      </c>
    </row>
    <row r="695">
      <c r="A695" s="29" t="n"/>
      <c r="B695" s="30" t="n"/>
      <c r="C695" s="30" t="n"/>
      <c r="D695" s="31" t="n"/>
      <c r="E695" s="30" t="n"/>
      <c r="F695" s="32">
        <f>IF(AND(ISNUMBER(D695),ISNUMBER(E695)),D695*E695,"")</f>
        <v/>
      </c>
      <c r="G695" s="31" t="n"/>
      <c r="H695" s="32">
        <f>IF(C695="SELL",F695-SUMIFS($F$2:$F$1000,$B$2:$B$1000,B695,$C$2:$C$1000,"&lt;&gt;SELL",$A$2:$A$1000,"&gt;"&amp;_xlfn.MAXIFS($A$2:$A$1000,$B$2:$B$1000,B695,$C$2:$C$1000,"SELL",$A$2:$A$1000,"&lt;"&amp;A695),$A$2:$A$1000,"&lt;="&amp;A695),"")</f>
        <v/>
      </c>
    </row>
    <row r="696">
      <c r="A696" s="29" t="n"/>
      <c r="B696" s="30" t="n"/>
      <c r="C696" s="30" t="n"/>
      <c r="D696" s="31" t="n"/>
      <c r="E696" s="30" t="n"/>
      <c r="F696" s="32">
        <f>IF(AND(ISNUMBER(D696),ISNUMBER(E696)),D696*E696,"")</f>
        <v/>
      </c>
      <c r="G696" s="31" t="n"/>
      <c r="H696" s="32">
        <f>IF(C696="SELL",F696-SUMIFS($F$2:$F$1000,$B$2:$B$1000,B696,$C$2:$C$1000,"&lt;&gt;SELL",$A$2:$A$1000,"&gt;"&amp;_xlfn.MAXIFS($A$2:$A$1000,$B$2:$B$1000,B696,$C$2:$C$1000,"SELL",$A$2:$A$1000,"&lt;"&amp;A696),$A$2:$A$1000,"&lt;="&amp;A696),"")</f>
        <v/>
      </c>
    </row>
    <row r="697">
      <c r="A697" s="29" t="n"/>
      <c r="B697" s="30" t="n"/>
      <c r="C697" s="30" t="n"/>
      <c r="D697" s="31" t="n"/>
      <c r="E697" s="30" t="n"/>
      <c r="F697" s="32">
        <f>IF(AND(ISNUMBER(D697),ISNUMBER(E697)),D697*E697,"")</f>
        <v/>
      </c>
      <c r="G697" s="31" t="n"/>
      <c r="H697" s="32">
        <f>IF(C697="SELL",F697-SUMIFS($F$2:$F$1000,$B$2:$B$1000,B697,$C$2:$C$1000,"&lt;&gt;SELL",$A$2:$A$1000,"&gt;"&amp;_xlfn.MAXIFS($A$2:$A$1000,$B$2:$B$1000,B697,$C$2:$C$1000,"SELL",$A$2:$A$1000,"&lt;"&amp;A697),$A$2:$A$1000,"&lt;="&amp;A697),"")</f>
        <v/>
      </c>
    </row>
    <row r="698">
      <c r="A698" s="29" t="n"/>
      <c r="B698" s="30" t="n"/>
      <c r="C698" s="30" t="n"/>
      <c r="D698" s="31" t="n"/>
      <c r="E698" s="30" t="n"/>
      <c r="F698" s="32">
        <f>IF(AND(ISNUMBER(D698),ISNUMBER(E698)),D698*E698,"")</f>
        <v/>
      </c>
      <c r="G698" s="31" t="n"/>
      <c r="H698" s="32">
        <f>IF(C698="SELL",F698-SUMIFS($F$2:$F$1000,$B$2:$B$1000,B698,$C$2:$C$1000,"&lt;&gt;SELL",$A$2:$A$1000,"&gt;"&amp;_xlfn.MAXIFS($A$2:$A$1000,$B$2:$B$1000,B698,$C$2:$C$1000,"SELL",$A$2:$A$1000,"&lt;"&amp;A698),$A$2:$A$1000,"&lt;="&amp;A698),"")</f>
        <v/>
      </c>
    </row>
    <row r="699">
      <c r="A699" s="29" t="n"/>
      <c r="B699" s="30" t="n"/>
      <c r="C699" s="30" t="n"/>
      <c r="D699" s="31" t="n"/>
      <c r="E699" s="30" t="n"/>
      <c r="F699" s="32">
        <f>IF(AND(ISNUMBER(D699),ISNUMBER(E699)),D699*E699,"")</f>
        <v/>
      </c>
      <c r="G699" s="31" t="n"/>
      <c r="H699" s="32">
        <f>IF(C699="SELL",F699-SUMIFS($F$2:$F$1000,$B$2:$B$1000,B699,$C$2:$C$1000,"&lt;&gt;SELL",$A$2:$A$1000,"&gt;"&amp;_xlfn.MAXIFS($A$2:$A$1000,$B$2:$B$1000,B699,$C$2:$C$1000,"SELL",$A$2:$A$1000,"&lt;"&amp;A699),$A$2:$A$1000,"&lt;="&amp;A699),"")</f>
        <v/>
      </c>
    </row>
    <row r="700">
      <c r="A700" s="29" t="n"/>
      <c r="B700" s="30" t="n"/>
      <c r="C700" s="30" t="n"/>
      <c r="D700" s="31" t="n"/>
      <c r="E700" s="30" t="n"/>
      <c r="F700" s="32">
        <f>IF(AND(ISNUMBER(D700),ISNUMBER(E700)),D700*E700,"")</f>
        <v/>
      </c>
      <c r="G700" s="31" t="n"/>
      <c r="H700" s="32">
        <f>IF(C700="SELL",F700-SUMIFS($F$2:$F$1000,$B$2:$B$1000,B700,$C$2:$C$1000,"&lt;&gt;SELL",$A$2:$A$1000,"&gt;"&amp;_xlfn.MAXIFS($A$2:$A$1000,$B$2:$B$1000,B700,$C$2:$C$1000,"SELL",$A$2:$A$1000,"&lt;"&amp;A700),$A$2:$A$1000,"&lt;="&amp;A700),"")</f>
        <v/>
      </c>
    </row>
    <row r="701">
      <c r="A701" s="29" t="n"/>
      <c r="B701" s="30" t="n"/>
      <c r="C701" s="30" t="n"/>
      <c r="D701" s="31" t="n"/>
      <c r="E701" s="30" t="n"/>
      <c r="F701" s="32">
        <f>IF(AND(ISNUMBER(D701),ISNUMBER(E701)),D701*E701,"")</f>
        <v/>
      </c>
      <c r="G701" s="31" t="n"/>
      <c r="H701" s="32">
        <f>IF(C701="SELL",F701-SUMIFS($F$2:$F$1000,$B$2:$B$1000,B701,$C$2:$C$1000,"&lt;&gt;SELL",$A$2:$A$1000,"&gt;"&amp;_xlfn.MAXIFS($A$2:$A$1000,$B$2:$B$1000,B701,$C$2:$C$1000,"SELL",$A$2:$A$1000,"&lt;"&amp;A701),$A$2:$A$1000,"&lt;="&amp;A701),"")</f>
        <v/>
      </c>
    </row>
    <row r="702">
      <c r="A702" s="29" t="n"/>
      <c r="B702" s="30" t="n"/>
      <c r="C702" s="30" t="n"/>
      <c r="D702" s="31" t="n"/>
      <c r="E702" s="30" t="n"/>
      <c r="F702" s="32">
        <f>IF(AND(ISNUMBER(D702),ISNUMBER(E702)),D702*E702,"")</f>
        <v/>
      </c>
      <c r="G702" s="31" t="n"/>
      <c r="H702" s="32">
        <f>IF(C702="SELL",F702-SUMIFS($F$2:$F$1000,$B$2:$B$1000,B702,$C$2:$C$1000,"&lt;&gt;SELL",$A$2:$A$1000,"&gt;"&amp;_xlfn.MAXIFS($A$2:$A$1000,$B$2:$B$1000,B702,$C$2:$C$1000,"SELL",$A$2:$A$1000,"&lt;"&amp;A702),$A$2:$A$1000,"&lt;="&amp;A702),"")</f>
        <v/>
      </c>
    </row>
    <row r="703">
      <c r="A703" s="29" t="n"/>
      <c r="B703" s="30" t="n"/>
      <c r="C703" s="30" t="n"/>
      <c r="D703" s="31" t="n"/>
      <c r="E703" s="30" t="n"/>
      <c r="F703" s="32">
        <f>IF(AND(ISNUMBER(D703),ISNUMBER(E703)),D703*E703,"")</f>
        <v/>
      </c>
      <c r="G703" s="31" t="n"/>
      <c r="H703" s="32">
        <f>IF(C703="SELL",F703-SUMIFS($F$2:$F$1000,$B$2:$B$1000,B703,$C$2:$C$1000,"&lt;&gt;SELL",$A$2:$A$1000,"&gt;"&amp;_xlfn.MAXIFS($A$2:$A$1000,$B$2:$B$1000,B703,$C$2:$C$1000,"SELL",$A$2:$A$1000,"&lt;"&amp;A703),$A$2:$A$1000,"&lt;="&amp;A703),"")</f>
        <v/>
      </c>
    </row>
    <row r="704">
      <c r="A704" s="29" t="n"/>
      <c r="B704" s="30" t="n"/>
      <c r="C704" s="30" t="n"/>
      <c r="D704" s="31" t="n"/>
      <c r="E704" s="30" t="n"/>
      <c r="F704" s="32">
        <f>IF(AND(ISNUMBER(D704),ISNUMBER(E704)),D704*E704,"")</f>
        <v/>
      </c>
      <c r="G704" s="31" t="n"/>
      <c r="H704" s="32">
        <f>IF(C704="SELL",F704-SUMIFS($F$2:$F$1000,$B$2:$B$1000,B704,$C$2:$C$1000,"&lt;&gt;SELL",$A$2:$A$1000,"&gt;"&amp;_xlfn.MAXIFS($A$2:$A$1000,$B$2:$B$1000,B704,$C$2:$C$1000,"SELL",$A$2:$A$1000,"&lt;"&amp;A704),$A$2:$A$1000,"&lt;="&amp;A704),"")</f>
        <v/>
      </c>
    </row>
    <row r="705">
      <c r="A705" s="29" t="n"/>
      <c r="B705" s="30" t="n"/>
      <c r="C705" s="30" t="n"/>
      <c r="D705" s="31" t="n"/>
      <c r="E705" s="30" t="n"/>
      <c r="F705" s="32">
        <f>IF(AND(ISNUMBER(D705),ISNUMBER(E705)),D705*E705,"")</f>
        <v/>
      </c>
      <c r="G705" s="31" t="n"/>
      <c r="H705" s="32">
        <f>IF(C705="SELL",F705-SUMIFS($F$2:$F$1000,$B$2:$B$1000,B705,$C$2:$C$1000,"&lt;&gt;SELL",$A$2:$A$1000,"&gt;"&amp;_xlfn.MAXIFS($A$2:$A$1000,$B$2:$B$1000,B705,$C$2:$C$1000,"SELL",$A$2:$A$1000,"&lt;"&amp;A705),$A$2:$A$1000,"&lt;="&amp;A705),"")</f>
        <v/>
      </c>
    </row>
    <row r="706">
      <c r="A706" s="29" t="n"/>
      <c r="B706" s="30" t="n"/>
      <c r="C706" s="30" t="n"/>
      <c r="D706" s="31" t="n"/>
      <c r="E706" s="30" t="n"/>
      <c r="F706" s="32">
        <f>IF(AND(ISNUMBER(D706),ISNUMBER(E706)),D706*E706,"")</f>
        <v/>
      </c>
      <c r="G706" s="31" t="n"/>
      <c r="H706" s="32">
        <f>IF(C706="SELL",F706-SUMIFS($F$2:$F$1000,$B$2:$B$1000,B706,$C$2:$C$1000,"&lt;&gt;SELL",$A$2:$A$1000,"&gt;"&amp;_xlfn.MAXIFS($A$2:$A$1000,$B$2:$B$1000,B706,$C$2:$C$1000,"SELL",$A$2:$A$1000,"&lt;"&amp;A706),$A$2:$A$1000,"&lt;="&amp;A706),"")</f>
        <v/>
      </c>
    </row>
    <row r="707">
      <c r="A707" s="29" t="n"/>
      <c r="B707" s="30" t="n"/>
      <c r="C707" s="30" t="n"/>
      <c r="D707" s="31" t="n"/>
      <c r="E707" s="30" t="n"/>
      <c r="F707" s="32">
        <f>IF(AND(ISNUMBER(D707),ISNUMBER(E707)),D707*E707,"")</f>
        <v/>
      </c>
      <c r="G707" s="31" t="n"/>
      <c r="H707" s="32">
        <f>IF(C707="SELL",F707-SUMIFS($F$2:$F$1000,$B$2:$B$1000,B707,$C$2:$C$1000,"&lt;&gt;SELL",$A$2:$A$1000,"&gt;"&amp;_xlfn.MAXIFS($A$2:$A$1000,$B$2:$B$1000,B707,$C$2:$C$1000,"SELL",$A$2:$A$1000,"&lt;"&amp;A707),$A$2:$A$1000,"&lt;="&amp;A707),"")</f>
        <v/>
      </c>
    </row>
    <row r="708">
      <c r="A708" s="29" t="n"/>
      <c r="B708" s="30" t="n"/>
      <c r="C708" s="30" t="n"/>
      <c r="D708" s="31" t="n"/>
      <c r="E708" s="30" t="n"/>
      <c r="F708" s="32">
        <f>IF(AND(ISNUMBER(D708),ISNUMBER(E708)),D708*E708,"")</f>
        <v/>
      </c>
      <c r="G708" s="31" t="n"/>
      <c r="H708" s="32">
        <f>IF(C708="SELL",F708-SUMIFS($F$2:$F$1000,$B$2:$B$1000,B708,$C$2:$C$1000,"&lt;&gt;SELL",$A$2:$A$1000,"&gt;"&amp;_xlfn.MAXIFS($A$2:$A$1000,$B$2:$B$1000,B708,$C$2:$C$1000,"SELL",$A$2:$A$1000,"&lt;"&amp;A708),$A$2:$A$1000,"&lt;="&amp;A708),"")</f>
        <v/>
      </c>
    </row>
    <row r="709">
      <c r="A709" s="29" t="n"/>
      <c r="B709" s="30" t="n"/>
      <c r="C709" s="30" t="n"/>
      <c r="D709" s="31" t="n"/>
      <c r="E709" s="30" t="n"/>
      <c r="F709" s="32">
        <f>IF(AND(ISNUMBER(D709),ISNUMBER(E709)),D709*E709,"")</f>
        <v/>
      </c>
      <c r="G709" s="31" t="n"/>
      <c r="H709" s="32">
        <f>IF(C709="SELL",F709-SUMIFS($F$2:$F$1000,$B$2:$B$1000,B709,$C$2:$C$1000,"&lt;&gt;SELL",$A$2:$A$1000,"&gt;"&amp;_xlfn.MAXIFS($A$2:$A$1000,$B$2:$B$1000,B709,$C$2:$C$1000,"SELL",$A$2:$A$1000,"&lt;"&amp;A709),$A$2:$A$1000,"&lt;="&amp;A709),"")</f>
        <v/>
      </c>
    </row>
    <row r="710">
      <c r="A710" s="29" t="n"/>
      <c r="B710" s="30" t="n"/>
      <c r="C710" s="30" t="n"/>
      <c r="D710" s="31" t="n"/>
      <c r="E710" s="30" t="n"/>
      <c r="F710" s="32">
        <f>IF(AND(ISNUMBER(D710),ISNUMBER(E710)),D710*E710,"")</f>
        <v/>
      </c>
      <c r="G710" s="31" t="n"/>
      <c r="H710" s="32">
        <f>IF(C710="SELL",F710-SUMIFS($F$2:$F$1000,$B$2:$B$1000,B710,$C$2:$C$1000,"&lt;&gt;SELL",$A$2:$A$1000,"&gt;"&amp;_xlfn.MAXIFS($A$2:$A$1000,$B$2:$B$1000,B710,$C$2:$C$1000,"SELL",$A$2:$A$1000,"&lt;"&amp;A710),$A$2:$A$1000,"&lt;="&amp;A710),"")</f>
        <v/>
      </c>
    </row>
    <row r="711">
      <c r="A711" s="29" t="n"/>
      <c r="B711" s="30" t="n"/>
      <c r="C711" s="30" t="n"/>
      <c r="D711" s="31" t="n"/>
      <c r="E711" s="30" t="n"/>
      <c r="F711" s="32">
        <f>IF(AND(ISNUMBER(D711),ISNUMBER(E711)),D711*E711,"")</f>
        <v/>
      </c>
      <c r="G711" s="31" t="n"/>
      <c r="H711" s="32">
        <f>IF(C711="SELL",F711-SUMIFS($F$2:$F$1000,$B$2:$B$1000,B711,$C$2:$C$1000,"&lt;&gt;SELL",$A$2:$A$1000,"&gt;"&amp;_xlfn.MAXIFS($A$2:$A$1000,$B$2:$B$1000,B711,$C$2:$C$1000,"SELL",$A$2:$A$1000,"&lt;"&amp;A711),$A$2:$A$1000,"&lt;="&amp;A711),"")</f>
        <v/>
      </c>
    </row>
    <row r="712">
      <c r="A712" s="29" t="n"/>
      <c r="B712" s="30" t="n"/>
      <c r="C712" s="30" t="n"/>
      <c r="D712" s="31" t="n"/>
      <c r="E712" s="30" t="n"/>
      <c r="F712" s="32">
        <f>IF(AND(ISNUMBER(D712),ISNUMBER(E712)),D712*E712,"")</f>
        <v/>
      </c>
      <c r="G712" s="31" t="n"/>
      <c r="H712" s="32">
        <f>IF(C712="SELL",F712-SUMIFS($F$2:$F$1000,$B$2:$B$1000,B712,$C$2:$C$1000,"&lt;&gt;SELL",$A$2:$A$1000,"&gt;"&amp;_xlfn.MAXIFS($A$2:$A$1000,$B$2:$B$1000,B712,$C$2:$C$1000,"SELL",$A$2:$A$1000,"&lt;"&amp;A712),$A$2:$A$1000,"&lt;="&amp;A712),"")</f>
        <v/>
      </c>
    </row>
    <row r="713">
      <c r="A713" s="29" t="n"/>
      <c r="B713" s="30" t="n"/>
      <c r="C713" s="30" t="n"/>
      <c r="D713" s="31" t="n"/>
      <c r="E713" s="30" t="n"/>
      <c r="F713" s="32">
        <f>IF(AND(ISNUMBER(D713),ISNUMBER(E713)),D713*E713,"")</f>
        <v/>
      </c>
      <c r="G713" s="31" t="n"/>
      <c r="H713" s="32">
        <f>IF(C713="SELL",F713-SUMIFS($F$2:$F$1000,$B$2:$B$1000,B713,$C$2:$C$1000,"&lt;&gt;SELL",$A$2:$A$1000,"&gt;"&amp;_xlfn.MAXIFS($A$2:$A$1000,$B$2:$B$1000,B713,$C$2:$C$1000,"SELL",$A$2:$A$1000,"&lt;"&amp;A713),$A$2:$A$1000,"&lt;="&amp;A713),"")</f>
        <v/>
      </c>
    </row>
    <row r="714">
      <c r="A714" s="29" t="n"/>
      <c r="B714" s="30" t="n"/>
      <c r="C714" s="30" t="n"/>
      <c r="D714" s="31" t="n"/>
      <c r="E714" s="30" t="n"/>
      <c r="F714" s="32">
        <f>IF(AND(ISNUMBER(D714),ISNUMBER(E714)),D714*E714,"")</f>
        <v/>
      </c>
      <c r="G714" s="31" t="n"/>
      <c r="H714" s="32">
        <f>IF(C714="SELL",F714-SUMIFS($F$2:$F$1000,$B$2:$B$1000,B714,$C$2:$C$1000,"&lt;&gt;SELL",$A$2:$A$1000,"&gt;"&amp;_xlfn.MAXIFS($A$2:$A$1000,$B$2:$B$1000,B714,$C$2:$C$1000,"SELL",$A$2:$A$1000,"&lt;"&amp;A714),$A$2:$A$1000,"&lt;="&amp;A714),"")</f>
        <v/>
      </c>
    </row>
    <row r="715">
      <c r="A715" s="29" t="n"/>
      <c r="B715" s="30" t="n"/>
      <c r="C715" s="30" t="n"/>
      <c r="D715" s="31" t="n"/>
      <c r="E715" s="30" t="n"/>
      <c r="F715" s="32">
        <f>IF(AND(ISNUMBER(D715),ISNUMBER(E715)),D715*E715,"")</f>
        <v/>
      </c>
      <c r="G715" s="31" t="n"/>
      <c r="H715" s="32">
        <f>IF(C715="SELL",F715-SUMIFS($F$2:$F$1000,$B$2:$B$1000,B715,$C$2:$C$1000,"&lt;&gt;SELL",$A$2:$A$1000,"&gt;"&amp;_xlfn.MAXIFS($A$2:$A$1000,$B$2:$B$1000,B715,$C$2:$C$1000,"SELL",$A$2:$A$1000,"&lt;"&amp;A715),$A$2:$A$1000,"&lt;="&amp;A715),"")</f>
        <v/>
      </c>
    </row>
    <row r="716">
      <c r="A716" s="29" t="n"/>
      <c r="B716" s="30" t="n"/>
      <c r="C716" s="30" t="n"/>
      <c r="D716" s="31" t="n"/>
      <c r="E716" s="30" t="n"/>
      <c r="F716" s="32">
        <f>IF(AND(ISNUMBER(D716),ISNUMBER(E716)),D716*E716,"")</f>
        <v/>
      </c>
      <c r="G716" s="31" t="n"/>
      <c r="H716" s="32">
        <f>IF(C716="SELL",F716-SUMIFS($F$2:$F$1000,$B$2:$B$1000,B716,$C$2:$C$1000,"&lt;&gt;SELL",$A$2:$A$1000,"&gt;"&amp;_xlfn.MAXIFS($A$2:$A$1000,$B$2:$B$1000,B716,$C$2:$C$1000,"SELL",$A$2:$A$1000,"&lt;"&amp;A716),$A$2:$A$1000,"&lt;="&amp;A716),"")</f>
        <v/>
      </c>
    </row>
    <row r="717">
      <c r="A717" s="29" t="n"/>
      <c r="B717" s="30" t="n"/>
      <c r="C717" s="30" t="n"/>
      <c r="D717" s="31" t="n"/>
      <c r="E717" s="30" t="n"/>
      <c r="F717" s="32">
        <f>IF(AND(ISNUMBER(D717),ISNUMBER(E717)),D717*E717,"")</f>
        <v/>
      </c>
      <c r="G717" s="31" t="n"/>
      <c r="H717" s="32">
        <f>IF(C717="SELL",F717-SUMIFS($F$2:$F$1000,$B$2:$B$1000,B717,$C$2:$C$1000,"&lt;&gt;SELL",$A$2:$A$1000,"&gt;"&amp;_xlfn.MAXIFS($A$2:$A$1000,$B$2:$B$1000,B717,$C$2:$C$1000,"SELL",$A$2:$A$1000,"&lt;"&amp;A717),$A$2:$A$1000,"&lt;="&amp;A717),"")</f>
        <v/>
      </c>
    </row>
    <row r="718">
      <c r="A718" s="29" t="n"/>
      <c r="B718" s="30" t="n"/>
      <c r="C718" s="30" t="n"/>
      <c r="D718" s="31" t="n"/>
      <c r="E718" s="30" t="n"/>
      <c r="F718" s="32">
        <f>IF(AND(ISNUMBER(D718),ISNUMBER(E718)),D718*E718,"")</f>
        <v/>
      </c>
      <c r="G718" s="31" t="n"/>
      <c r="H718" s="32">
        <f>IF(C718="SELL",F718-SUMIFS($F$2:$F$1000,$B$2:$B$1000,B718,$C$2:$C$1000,"&lt;&gt;SELL",$A$2:$A$1000,"&gt;"&amp;_xlfn.MAXIFS($A$2:$A$1000,$B$2:$B$1000,B718,$C$2:$C$1000,"SELL",$A$2:$A$1000,"&lt;"&amp;A718),$A$2:$A$1000,"&lt;="&amp;A718),"")</f>
        <v/>
      </c>
    </row>
    <row r="719">
      <c r="A719" s="29" t="n"/>
      <c r="B719" s="30" t="n"/>
      <c r="C719" s="30" t="n"/>
      <c r="D719" s="31" t="n"/>
      <c r="E719" s="30" t="n"/>
      <c r="F719" s="32">
        <f>IF(AND(ISNUMBER(D719),ISNUMBER(E719)),D719*E719,"")</f>
        <v/>
      </c>
      <c r="G719" s="31" t="n"/>
      <c r="H719" s="32">
        <f>IF(C719="SELL",F719-SUMIFS($F$2:$F$1000,$B$2:$B$1000,B719,$C$2:$C$1000,"&lt;&gt;SELL",$A$2:$A$1000,"&gt;"&amp;_xlfn.MAXIFS($A$2:$A$1000,$B$2:$B$1000,B719,$C$2:$C$1000,"SELL",$A$2:$A$1000,"&lt;"&amp;A719),$A$2:$A$1000,"&lt;="&amp;A719),"")</f>
        <v/>
      </c>
    </row>
    <row r="720">
      <c r="A720" s="29" t="n"/>
      <c r="B720" s="30" t="n"/>
      <c r="C720" s="30" t="n"/>
      <c r="D720" s="31" t="n"/>
      <c r="E720" s="30" t="n"/>
      <c r="F720" s="32">
        <f>IF(AND(ISNUMBER(D720),ISNUMBER(E720)),D720*E720,"")</f>
        <v/>
      </c>
      <c r="G720" s="31" t="n"/>
      <c r="H720" s="32">
        <f>IF(C720="SELL",F720-SUMIFS($F$2:$F$1000,$B$2:$B$1000,B720,$C$2:$C$1000,"&lt;&gt;SELL",$A$2:$A$1000,"&gt;"&amp;_xlfn.MAXIFS($A$2:$A$1000,$B$2:$B$1000,B720,$C$2:$C$1000,"SELL",$A$2:$A$1000,"&lt;"&amp;A720),$A$2:$A$1000,"&lt;="&amp;A720),"")</f>
        <v/>
      </c>
    </row>
    <row r="721">
      <c r="A721" s="29" t="n"/>
      <c r="B721" s="30" t="n"/>
      <c r="C721" s="30" t="n"/>
      <c r="D721" s="31" t="n"/>
      <c r="E721" s="30" t="n"/>
      <c r="F721" s="32">
        <f>IF(AND(ISNUMBER(D721),ISNUMBER(E721)),D721*E721,"")</f>
        <v/>
      </c>
      <c r="G721" s="31" t="n"/>
      <c r="H721" s="32">
        <f>IF(C721="SELL",F721-SUMIFS($F$2:$F$1000,$B$2:$B$1000,B721,$C$2:$C$1000,"&lt;&gt;SELL",$A$2:$A$1000,"&gt;"&amp;_xlfn.MAXIFS($A$2:$A$1000,$B$2:$B$1000,B721,$C$2:$C$1000,"SELL",$A$2:$A$1000,"&lt;"&amp;A721),$A$2:$A$1000,"&lt;="&amp;A721),"")</f>
        <v/>
      </c>
    </row>
    <row r="722">
      <c r="A722" s="29" t="n"/>
      <c r="B722" s="30" t="n"/>
      <c r="C722" s="30" t="n"/>
      <c r="D722" s="31" t="n"/>
      <c r="E722" s="30" t="n"/>
      <c r="F722" s="32">
        <f>IF(AND(ISNUMBER(D722),ISNUMBER(E722)),D722*E722,"")</f>
        <v/>
      </c>
      <c r="G722" s="31" t="n"/>
      <c r="H722" s="32">
        <f>IF(C722="SELL",F722-SUMIFS($F$2:$F$1000,$B$2:$B$1000,B722,$C$2:$C$1000,"&lt;&gt;SELL",$A$2:$A$1000,"&gt;"&amp;_xlfn.MAXIFS($A$2:$A$1000,$B$2:$B$1000,B722,$C$2:$C$1000,"SELL",$A$2:$A$1000,"&lt;"&amp;A722),$A$2:$A$1000,"&lt;="&amp;A722),"")</f>
        <v/>
      </c>
    </row>
    <row r="723">
      <c r="A723" s="29" t="n"/>
      <c r="B723" s="30" t="n"/>
      <c r="C723" s="30" t="n"/>
      <c r="D723" s="31" t="n"/>
      <c r="E723" s="30" t="n"/>
      <c r="F723" s="32">
        <f>IF(AND(ISNUMBER(D723),ISNUMBER(E723)),D723*E723,"")</f>
        <v/>
      </c>
      <c r="G723" s="31" t="n"/>
      <c r="H723" s="32">
        <f>IF(C723="SELL",F723-SUMIFS($F$2:$F$1000,$B$2:$B$1000,B723,$C$2:$C$1000,"&lt;&gt;SELL",$A$2:$A$1000,"&gt;"&amp;_xlfn.MAXIFS($A$2:$A$1000,$B$2:$B$1000,B723,$C$2:$C$1000,"SELL",$A$2:$A$1000,"&lt;"&amp;A723),$A$2:$A$1000,"&lt;="&amp;A723),"")</f>
        <v/>
      </c>
    </row>
    <row r="724">
      <c r="A724" s="29" t="n"/>
      <c r="B724" s="30" t="n"/>
      <c r="C724" s="30" t="n"/>
      <c r="D724" s="31" t="n"/>
      <c r="E724" s="30" t="n"/>
      <c r="F724" s="32">
        <f>IF(AND(ISNUMBER(D724),ISNUMBER(E724)),D724*E724,"")</f>
        <v/>
      </c>
      <c r="G724" s="31" t="n"/>
      <c r="H724" s="32">
        <f>IF(C724="SELL",F724-SUMIFS($F$2:$F$1000,$B$2:$B$1000,B724,$C$2:$C$1000,"&lt;&gt;SELL",$A$2:$A$1000,"&gt;"&amp;_xlfn.MAXIFS($A$2:$A$1000,$B$2:$B$1000,B724,$C$2:$C$1000,"SELL",$A$2:$A$1000,"&lt;"&amp;A724),$A$2:$A$1000,"&lt;="&amp;A724),"")</f>
        <v/>
      </c>
    </row>
    <row r="725">
      <c r="A725" s="29" t="n"/>
      <c r="B725" s="30" t="n"/>
      <c r="C725" s="30" t="n"/>
      <c r="D725" s="31" t="n"/>
      <c r="E725" s="30" t="n"/>
      <c r="F725" s="32">
        <f>IF(AND(ISNUMBER(D725),ISNUMBER(E725)),D725*E725,"")</f>
        <v/>
      </c>
      <c r="G725" s="31" t="n"/>
      <c r="H725" s="32">
        <f>IF(C725="SELL",F725-SUMIFS($F$2:$F$1000,$B$2:$B$1000,B725,$C$2:$C$1000,"&lt;&gt;SELL",$A$2:$A$1000,"&gt;"&amp;_xlfn.MAXIFS($A$2:$A$1000,$B$2:$B$1000,B725,$C$2:$C$1000,"SELL",$A$2:$A$1000,"&lt;"&amp;A725),$A$2:$A$1000,"&lt;="&amp;A725),"")</f>
        <v/>
      </c>
    </row>
    <row r="726">
      <c r="A726" s="29" t="n"/>
      <c r="B726" s="30" t="n"/>
      <c r="C726" s="30" t="n"/>
      <c r="D726" s="31" t="n"/>
      <c r="E726" s="30" t="n"/>
      <c r="F726" s="32">
        <f>IF(AND(ISNUMBER(D726),ISNUMBER(E726)),D726*E726,"")</f>
        <v/>
      </c>
      <c r="G726" s="31" t="n"/>
      <c r="H726" s="32">
        <f>IF(C726="SELL",F726-SUMIFS($F$2:$F$1000,$B$2:$B$1000,B726,$C$2:$C$1000,"&lt;&gt;SELL",$A$2:$A$1000,"&gt;"&amp;_xlfn.MAXIFS($A$2:$A$1000,$B$2:$B$1000,B726,$C$2:$C$1000,"SELL",$A$2:$A$1000,"&lt;"&amp;A726),$A$2:$A$1000,"&lt;="&amp;A726),"")</f>
        <v/>
      </c>
    </row>
    <row r="727">
      <c r="A727" s="29" t="n"/>
      <c r="B727" s="30" t="n"/>
      <c r="C727" s="30" t="n"/>
      <c r="D727" s="31" t="n"/>
      <c r="E727" s="30" t="n"/>
      <c r="F727" s="32">
        <f>IF(AND(ISNUMBER(D727),ISNUMBER(E727)),D727*E727,"")</f>
        <v/>
      </c>
      <c r="G727" s="31" t="n"/>
      <c r="H727" s="32">
        <f>IF(C727="SELL",F727-SUMIFS($F$2:$F$1000,$B$2:$B$1000,B727,$C$2:$C$1000,"&lt;&gt;SELL",$A$2:$A$1000,"&gt;"&amp;_xlfn.MAXIFS($A$2:$A$1000,$B$2:$B$1000,B727,$C$2:$C$1000,"SELL",$A$2:$A$1000,"&lt;"&amp;A727),$A$2:$A$1000,"&lt;="&amp;A727),"")</f>
        <v/>
      </c>
    </row>
    <row r="728">
      <c r="A728" s="29" t="n"/>
      <c r="B728" s="30" t="n"/>
      <c r="C728" s="30" t="n"/>
      <c r="D728" s="31" t="n"/>
      <c r="E728" s="30" t="n"/>
      <c r="F728" s="32">
        <f>IF(AND(ISNUMBER(D728),ISNUMBER(E728)),D728*E728,"")</f>
        <v/>
      </c>
      <c r="G728" s="31" t="n"/>
      <c r="H728" s="32">
        <f>IF(C728="SELL",F728-SUMIFS($F$2:$F$1000,$B$2:$B$1000,B728,$C$2:$C$1000,"&lt;&gt;SELL",$A$2:$A$1000,"&gt;"&amp;_xlfn.MAXIFS($A$2:$A$1000,$B$2:$B$1000,B728,$C$2:$C$1000,"SELL",$A$2:$A$1000,"&lt;"&amp;A728),$A$2:$A$1000,"&lt;="&amp;A728),"")</f>
        <v/>
      </c>
    </row>
    <row r="729">
      <c r="A729" s="29" t="n"/>
      <c r="B729" s="30" t="n"/>
      <c r="C729" s="30" t="n"/>
      <c r="D729" s="31" t="n"/>
      <c r="E729" s="30" t="n"/>
      <c r="F729" s="32">
        <f>IF(AND(ISNUMBER(D729),ISNUMBER(E729)),D729*E729,"")</f>
        <v/>
      </c>
      <c r="G729" s="31" t="n"/>
      <c r="H729" s="32">
        <f>IF(C729="SELL",F729-SUMIFS($F$2:$F$1000,$B$2:$B$1000,B729,$C$2:$C$1000,"&lt;&gt;SELL",$A$2:$A$1000,"&gt;"&amp;_xlfn.MAXIFS($A$2:$A$1000,$B$2:$B$1000,B729,$C$2:$C$1000,"SELL",$A$2:$A$1000,"&lt;"&amp;A729),$A$2:$A$1000,"&lt;="&amp;A729),"")</f>
        <v/>
      </c>
    </row>
    <row r="730">
      <c r="A730" s="29" t="n"/>
      <c r="B730" s="30" t="n"/>
      <c r="C730" s="30" t="n"/>
      <c r="D730" s="31" t="n"/>
      <c r="E730" s="30" t="n"/>
      <c r="F730" s="32">
        <f>IF(AND(ISNUMBER(D730),ISNUMBER(E730)),D730*E730,"")</f>
        <v/>
      </c>
      <c r="G730" s="31" t="n"/>
      <c r="H730" s="32">
        <f>IF(C730="SELL",F730-SUMIFS($F$2:$F$1000,$B$2:$B$1000,B730,$C$2:$C$1000,"&lt;&gt;SELL",$A$2:$A$1000,"&gt;"&amp;_xlfn.MAXIFS($A$2:$A$1000,$B$2:$B$1000,B730,$C$2:$C$1000,"SELL",$A$2:$A$1000,"&lt;"&amp;A730),$A$2:$A$1000,"&lt;="&amp;A730),"")</f>
        <v/>
      </c>
    </row>
    <row r="731">
      <c r="A731" s="29" t="n"/>
      <c r="B731" s="30" t="n"/>
      <c r="C731" s="30" t="n"/>
      <c r="D731" s="31" t="n"/>
      <c r="E731" s="30" t="n"/>
      <c r="F731" s="32">
        <f>IF(AND(ISNUMBER(D731),ISNUMBER(E731)),D731*E731,"")</f>
        <v/>
      </c>
      <c r="G731" s="31" t="n"/>
      <c r="H731" s="32">
        <f>IF(C731="SELL",F731-SUMIFS($F$2:$F$1000,$B$2:$B$1000,B731,$C$2:$C$1000,"&lt;&gt;SELL",$A$2:$A$1000,"&gt;"&amp;_xlfn.MAXIFS($A$2:$A$1000,$B$2:$B$1000,B731,$C$2:$C$1000,"SELL",$A$2:$A$1000,"&lt;"&amp;A731),$A$2:$A$1000,"&lt;="&amp;A731),"")</f>
        <v/>
      </c>
    </row>
    <row r="732">
      <c r="A732" s="29" t="n"/>
      <c r="B732" s="30" t="n"/>
      <c r="C732" s="30" t="n"/>
      <c r="D732" s="31" t="n"/>
      <c r="E732" s="30" t="n"/>
      <c r="F732" s="32">
        <f>IF(AND(ISNUMBER(D732),ISNUMBER(E732)),D732*E732,"")</f>
        <v/>
      </c>
      <c r="G732" s="31" t="n"/>
      <c r="H732" s="32">
        <f>IF(C732="SELL",F732-SUMIFS($F$2:$F$1000,$B$2:$B$1000,B732,$C$2:$C$1000,"&lt;&gt;SELL",$A$2:$A$1000,"&gt;"&amp;_xlfn.MAXIFS($A$2:$A$1000,$B$2:$B$1000,B732,$C$2:$C$1000,"SELL",$A$2:$A$1000,"&lt;"&amp;A732),$A$2:$A$1000,"&lt;="&amp;A732),"")</f>
        <v/>
      </c>
    </row>
    <row r="733">
      <c r="A733" s="29" t="n"/>
      <c r="B733" s="30" t="n"/>
      <c r="C733" s="30" t="n"/>
      <c r="D733" s="31" t="n"/>
      <c r="E733" s="30" t="n"/>
      <c r="F733" s="32">
        <f>IF(AND(ISNUMBER(D733),ISNUMBER(E733)),D733*E733,"")</f>
        <v/>
      </c>
      <c r="G733" s="31" t="n"/>
      <c r="H733" s="32">
        <f>IF(C733="SELL",F733-SUMIFS($F$2:$F$1000,$B$2:$B$1000,B733,$C$2:$C$1000,"&lt;&gt;SELL",$A$2:$A$1000,"&gt;"&amp;_xlfn.MAXIFS($A$2:$A$1000,$B$2:$B$1000,B733,$C$2:$C$1000,"SELL",$A$2:$A$1000,"&lt;"&amp;A733),$A$2:$A$1000,"&lt;="&amp;A733),"")</f>
        <v/>
      </c>
    </row>
    <row r="734">
      <c r="A734" s="29" t="n"/>
      <c r="B734" s="30" t="n"/>
      <c r="C734" s="30" t="n"/>
      <c r="D734" s="31" t="n"/>
      <c r="E734" s="30" t="n"/>
      <c r="F734" s="32">
        <f>IF(AND(ISNUMBER(D734),ISNUMBER(E734)),D734*E734,"")</f>
        <v/>
      </c>
      <c r="G734" s="31" t="n"/>
      <c r="H734" s="32">
        <f>IF(C734="SELL",F734-SUMIFS($F$2:$F$1000,$B$2:$B$1000,B734,$C$2:$C$1000,"&lt;&gt;SELL",$A$2:$A$1000,"&gt;"&amp;_xlfn.MAXIFS($A$2:$A$1000,$B$2:$B$1000,B734,$C$2:$C$1000,"SELL",$A$2:$A$1000,"&lt;"&amp;A734),$A$2:$A$1000,"&lt;="&amp;A734),"")</f>
        <v/>
      </c>
    </row>
    <row r="735">
      <c r="A735" s="29" t="n"/>
      <c r="B735" s="30" t="n"/>
      <c r="C735" s="30" t="n"/>
      <c r="D735" s="31" t="n"/>
      <c r="E735" s="30" t="n"/>
      <c r="F735" s="32">
        <f>IF(AND(ISNUMBER(D735),ISNUMBER(E735)),D735*E735,"")</f>
        <v/>
      </c>
      <c r="G735" s="31" t="n"/>
      <c r="H735" s="32">
        <f>IF(C735="SELL",F735-SUMIFS($F$2:$F$1000,$B$2:$B$1000,B735,$C$2:$C$1000,"&lt;&gt;SELL",$A$2:$A$1000,"&gt;"&amp;_xlfn.MAXIFS($A$2:$A$1000,$B$2:$B$1000,B735,$C$2:$C$1000,"SELL",$A$2:$A$1000,"&lt;"&amp;A735),$A$2:$A$1000,"&lt;="&amp;A735),"")</f>
        <v/>
      </c>
    </row>
    <row r="736">
      <c r="A736" s="29" t="n"/>
      <c r="B736" s="30" t="n"/>
      <c r="C736" s="30" t="n"/>
      <c r="D736" s="31" t="n"/>
      <c r="E736" s="30" t="n"/>
      <c r="F736" s="32">
        <f>IF(AND(ISNUMBER(D736),ISNUMBER(E736)),D736*E736,"")</f>
        <v/>
      </c>
      <c r="G736" s="31" t="n"/>
      <c r="H736" s="32">
        <f>IF(C736="SELL",F736-SUMIFS($F$2:$F$1000,$B$2:$B$1000,B736,$C$2:$C$1000,"&lt;&gt;SELL",$A$2:$A$1000,"&gt;"&amp;_xlfn.MAXIFS($A$2:$A$1000,$B$2:$B$1000,B736,$C$2:$C$1000,"SELL",$A$2:$A$1000,"&lt;"&amp;A736),$A$2:$A$1000,"&lt;="&amp;A736),"")</f>
        <v/>
      </c>
    </row>
    <row r="737">
      <c r="A737" s="29" t="n"/>
      <c r="B737" s="30" t="n"/>
      <c r="C737" s="30" t="n"/>
      <c r="D737" s="31" t="n"/>
      <c r="E737" s="30" t="n"/>
      <c r="F737" s="32">
        <f>IF(AND(ISNUMBER(D737),ISNUMBER(E737)),D737*E737,"")</f>
        <v/>
      </c>
      <c r="G737" s="31" t="n"/>
      <c r="H737" s="32">
        <f>IF(C737="SELL",F737-SUMIFS($F$2:$F$1000,$B$2:$B$1000,B737,$C$2:$C$1000,"&lt;&gt;SELL",$A$2:$A$1000,"&gt;"&amp;_xlfn.MAXIFS($A$2:$A$1000,$B$2:$B$1000,B737,$C$2:$C$1000,"SELL",$A$2:$A$1000,"&lt;"&amp;A737),$A$2:$A$1000,"&lt;="&amp;A737),"")</f>
        <v/>
      </c>
    </row>
    <row r="738">
      <c r="A738" s="29" t="n"/>
      <c r="B738" s="30" t="n"/>
      <c r="C738" s="30" t="n"/>
      <c r="D738" s="31" t="n"/>
      <c r="E738" s="30" t="n"/>
      <c r="F738" s="32">
        <f>IF(AND(ISNUMBER(D738),ISNUMBER(E738)),D738*E738,"")</f>
        <v/>
      </c>
      <c r="G738" s="31" t="n"/>
      <c r="H738" s="32">
        <f>IF(C738="SELL",F738-SUMIFS($F$2:$F$1000,$B$2:$B$1000,B738,$C$2:$C$1000,"&lt;&gt;SELL",$A$2:$A$1000,"&gt;"&amp;_xlfn.MAXIFS($A$2:$A$1000,$B$2:$B$1000,B738,$C$2:$C$1000,"SELL",$A$2:$A$1000,"&lt;"&amp;A738),$A$2:$A$1000,"&lt;="&amp;A738),"")</f>
        <v/>
      </c>
    </row>
    <row r="739">
      <c r="A739" s="29" t="n"/>
      <c r="B739" s="30" t="n"/>
      <c r="C739" s="30" t="n"/>
      <c r="D739" s="31" t="n"/>
      <c r="E739" s="30" t="n"/>
      <c r="F739" s="32">
        <f>IF(AND(ISNUMBER(D739),ISNUMBER(E739)),D739*E739,"")</f>
        <v/>
      </c>
      <c r="G739" s="31" t="n"/>
      <c r="H739" s="32">
        <f>IF(C739="SELL",F739-SUMIFS($F$2:$F$1000,$B$2:$B$1000,B739,$C$2:$C$1000,"&lt;&gt;SELL",$A$2:$A$1000,"&gt;"&amp;_xlfn.MAXIFS($A$2:$A$1000,$B$2:$B$1000,B739,$C$2:$C$1000,"SELL",$A$2:$A$1000,"&lt;"&amp;A739),$A$2:$A$1000,"&lt;="&amp;A739),"")</f>
        <v/>
      </c>
    </row>
    <row r="740">
      <c r="A740" s="29" t="n"/>
      <c r="B740" s="30" t="n"/>
      <c r="C740" s="30" t="n"/>
      <c r="D740" s="31" t="n"/>
      <c r="E740" s="30" t="n"/>
      <c r="F740" s="32">
        <f>IF(AND(ISNUMBER(D740),ISNUMBER(E740)),D740*E740,"")</f>
        <v/>
      </c>
      <c r="G740" s="31" t="n"/>
      <c r="H740" s="32">
        <f>IF(C740="SELL",F740-SUMIFS($F$2:$F$1000,$B$2:$B$1000,B740,$C$2:$C$1000,"&lt;&gt;SELL",$A$2:$A$1000,"&gt;"&amp;_xlfn.MAXIFS($A$2:$A$1000,$B$2:$B$1000,B740,$C$2:$C$1000,"SELL",$A$2:$A$1000,"&lt;"&amp;A740),$A$2:$A$1000,"&lt;="&amp;A740),"")</f>
        <v/>
      </c>
    </row>
    <row r="741">
      <c r="A741" s="29" t="n"/>
      <c r="B741" s="30" t="n"/>
      <c r="C741" s="30" t="n"/>
      <c r="D741" s="31" t="n"/>
      <c r="E741" s="30" t="n"/>
      <c r="F741" s="32">
        <f>IF(AND(ISNUMBER(D741),ISNUMBER(E741)),D741*E741,"")</f>
        <v/>
      </c>
      <c r="G741" s="31" t="n"/>
      <c r="H741" s="32">
        <f>IF(C741="SELL",F741-SUMIFS($F$2:$F$1000,$B$2:$B$1000,B741,$C$2:$C$1000,"&lt;&gt;SELL",$A$2:$A$1000,"&gt;"&amp;_xlfn.MAXIFS($A$2:$A$1000,$B$2:$B$1000,B741,$C$2:$C$1000,"SELL",$A$2:$A$1000,"&lt;"&amp;A741),$A$2:$A$1000,"&lt;="&amp;A741),"")</f>
        <v/>
      </c>
    </row>
    <row r="742">
      <c r="A742" s="29" t="n"/>
      <c r="B742" s="30" t="n"/>
      <c r="C742" s="30" t="n"/>
      <c r="D742" s="31" t="n"/>
      <c r="E742" s="30" t="n"/>
      <c r="F742" s="32">
        <f>IF(AND(ISNUMBER(D742),ISNUMBER(E742)),D742*E742,"")</f>
        <v/>
      </c>
      <c r="G742" s="31" t="n"/>
      <c r="H742" s="32">
        <f>IF(C742="SELL",F742-SUMIFS($F$2:$F$1000,$B$2:$B$1000,B742,$C$2:$C$1000,"&lt;&gt;SELL",$A$2:$A$1000,"&gt;"&amp;_xlfn.MAXIFS($A$2:$A$1000,$B$2:$B$1000,B742,$C$2:$C$1000,"SELL",$A$2:$A$1000,"&lt;"&amp;A742),$A$2:$A$1000,"&lt;="&amp;A742),"")</f>
        <v/>
      </c>
    </row>
    <row r="743">
      <c r="A743" s="29" t="n"/>
      <c r="B743" s="30" t="n"/>
      <c r="C743" s="30" t="n"/>
      <c r="D743" s="31" t="n"/>
      <c r="E743" s="30" t="n"/>
      <c r="F743" s="32">
        <f>IF(AND(ISNUMBER(D743),ISNUMBER(E743)),D743*E743,"")</f>
        <v/>
      </c>
      <c r="G743" s="31" t="n"/>
      <c r="H743" s="32">
        <f>IF(C743="SELL",F743-SUMIFS($F$2:$F$1000,$B$2:$B$1000,B743,$C$2:$C$1000,"&lt;&gt;SELL",$A$2:$A$1000,"&gt;"&amp;_xlfn.MAXIFS($A$2:$A$1000,$B$2:$B$1000,B743,$C$2:$C$1000,"SELL",$A$2:$A$1000,"&lt;"&amp;A743),$A$2:$A$1000,"&lt;="&amp;A743),"")</f>
        <v/>
      </c>
    </row>
    <row r="744">
      <c r="A744" s="29" t="n"/>
      <c r="B744" s="30" t="n"/>
      <c r="C744" s="30" t="n"/>
      <c r="D744" s="31" t="n"/>
      <c r="E744" s="30" t="n"/>
      <c r="F744" s="32">
        <f>IF(AND(ISNUMBER(D744),ISNUMBER(E744)),D744*E744,"")</f>
        <v/>
      </c>
      <c r="G744" s="31" t="n"/>
      <c r="H744" s="32">
        <f>IF(C744="SELL",F744-SUMIFS($F$2:$F$1000,$B$2:$B$1000,B744,$C$2:$C$1000,"&lt;&gt;SELL",$A$2:$A$1000,"&gt;"&amp;_xlfn.MAXIFS($A$2:$A$1000,$B$2:$B$1000,B744,$C$2:$C$1000,"SELL",$A$2:$A$1000,"&lt;"&amp;A744),$A$2:$A$1000,"&lt;="&amp;A744),"")</f>
        <v/>
      </c>
    </row>
    <row r="745">
      <c r="A745" s="29" t="n"/>
      <c r="B745" s="30" t="n"/>
      <c r="C745" s="30" t="n"/>
      <c r="D745" s="31" t="n"/>
      <c r="E745" s="30" t="n"/>
      <c r="F745" s="32">
        <f>IF(AND(ISNUMBER(D745),ISNUMBER(E745)),D745*E745,"")</f>
        <v/>
      </c>
      <c r="G745" s="31" t="n"/>
      <c r="H745" s="32">
        <f>IF(C745="SELL",F745-SUMIFS($F$2:$F$1000,$B$2:$B$1000,B745,$C$2:$C$1000,"&lt;&gt;SELL",$A$2:$A$1000,"&gt;"&amp;_xlfn.MAXIFS($A$2:$A$1000,$B$2:$B$1000,B745,$C$2:$C$1000,"SELL",$A$2:$A$1000,"&lt;"&amp;A745),$A$2:$A$1000,"&lt;="&amp;A745),"")</f>
        <v/>
      </c>
    </row>
    <row r="746">
      <c r="A746" s="29" t="n"/>
      <c r="B746" s="30" t="n"/>
      <c r="C746" s="30" t="n"/>
      <c r="D746" s="31" t="n"/>
      <c r="E746" s="30" t="n"/>
      <c r="F746" s="32">
        <f>IF(AND(ISNUMBER(D746),ISNUMBER(E746)),D746*E746,"")</f>
        <v/>
      </c>
      <c r="G746" s="31" t="n"/>
      <c r="H746" s="32">
        <f>IF(C746="SELL",F746-SUMIFS($F$2:$F$1000,$B$2:$B$1000,B746,$C$2:$C$1000,"&lt;&gt;SELL",$A$2:$A$1000,"&gt;"&amp;_xlfn.MAXIFS($A$2:$A$1000,$B$2:$B$1000,B746,$C$2:$C$1000,"SELL",$A$2:$A$1000,"&lt;"&amp;A746),$A$2:$A$1000,"&lt;="&amp;A746),"")</f>
        <v/>
      </c>
    </row>
    <row r="747">
      <c r="A747" s="29" t="n"/>
      <c r="B747" s="30" t="n"/>
      <c r="C747" s="30" t="n"/>
      <c r="D747" s="31" t="n"/>
      <c r="E747" s="30" t="n"/>
      <c r="F747" s="32">
        <f>IF(AND(ISNUMBER(D747),ISNUMBER(E747)),D747*E747,"")</f>
        <v/>
      </c>
      <c r="G747" s="31" t="n"/>
      <c r="H747" s="32">
        <f>IF(C747="SELL",F747-SUMIFS($F$2:$F$1000,$B$2:$B$1000,B747,$C$2:$C$1000,"&lt;&gt;SELL",$A$2:$A$1000,"&gt;"&amp;_xlfn.MAXIFS($A$2:$A$1000,$B$2:$B$1000,B747,$C$2:$C$1000,"SELL",$A$2:$A$1000,"&lt;"&amp;A747),$A$2:$A$1000,"&lt;="&amp;A747),"")</f>
        <v/>
      </c>
    </row>
    <row r="748">
      <c r="A748" s="29" t="n"/>
      <c r="B748" s="30" t="n"/>
      <c r="C748" s="30" t="n"/>
      <c r="D748" s="31" t="n"/>
      <c r="E748" s="30" t="n"/>
      <c r="F748" s="32">
        <f>IF(AND(ISNUMBER(D748),ISNUMBER(E748)),D748*E748,"")</f>
        <v/>
      </c>
      <c r="G748" s="31" t="n"/>
      <c r="H748" s="32">
        <f>IF(C748="SELL",F748-SUMIFS($F$2:$F$1000,$B$2:$B$1000,B748,$C$2:$C$1000,"&lt;&gt;SELL",$A$2:$A$1000,"&gt;"&amp;_xlfn.MAXIFS($A$2:$A$1000,$B$2:$B$1000,B748,$C$2:$C$1000,"SELL",$A$2:$A$1000,"&lt;"&amp;A748),$A$2:$A$1000,"&lt;="&amp;A748),"")</f>
        <v/>
      </c>
    </row>
    <row r="749">
      <c r="A749" s="29" t="n"/>
      <c r="B749" s="30" t="n"/>
      <c r="C749" s="30" t="n"/>
      <c r="D749" s="31" t="n"/>
      <c r="E749" s="30" t="n"/>
      <c r="F749" s="32">
        <f>IF(AND(ISNUMBER(D749),ISNUMBER(E749)),D749*E749,"")</f>
        <v/>
      </c>
      <c r="G749" s="31" t="n"/>
      <c r="H749" s="32">
        <f>IF(C749="SELL",F749-SUMIFS($F$2:$F$1000,$B$2:$B$1000,B749,$C$2:$C$1000,"&lt;&gt;SELL",$A$2:$A$1000,"&gt;"&amp;_xlfn.MAXIFS($A$2:$A$1000,$B$2:$B$1000,B749,$C$2:$C$1000,"SELL",$A$2:$A$1000,"&lt;"&amp;A749),$A$2:$A$1000,"&lt;="&amp;A749),"")</f>
        <v/>
      </c>
    </row>
    <row r="750">
      <c r="A750" s="29" t="n"/>
      <c r="B750" s="30" t="n"/>
      <c r="C750" s="30" t="n"/>
      <c r="D750" s="31" t="n"/>
      <c r="E750" s="30" t="n"/>
      <c r="F750" s="32">
        <f>IF(AND(ISNUMBER(D750),ISNUMBER(E750)),D750*E750,"")</f>
        <v/>
      </c>
      <c r="G750" s="31" t="n"/>
      <c r="H750" s="32">
        <f>IF(C750="SELL",F750-SUMIFS($F$2:$F$1000,$B$2:$B$1000,B750,$C$2:$C$1000,"&lt;&gt;SELL",$A$2:$A$1000,"&gt;"&amp;_xlfn.MAXIFS($A$2:$A$1000,$B$2:$B$1000,B750,$C$2:$C$1000,"SELL",$A$2:$A$1000,"&lt;"&amp;A750),$A$2:$A$1000,"&lt;="&amp;A750),"")</f>
        <v/>
      </c>
    </row>
    <row r="751">
      <c r="A751" s="29" t="n"/>
      <c r="B751" s="30" t="n"/>
      <c r="C751" s="30" t="n"/>
      <c r="D751" s="31" t="n"/>
      <c r="E751" s="30" t="n"/>
      <c r="F751" s="32">
        <f>IF(AND(ISNUMBER(D751),ISNUMBER(E751)),D751*E751,"")</f>
        <v/>
      </c>
      <c r="G751" s="31" t="n"/>
      <c r="H751" s="32">
        <f>IF(C751="SELL",F751-SUMIFS($F$2:$F$1000,$B$2:$B$1000,B751,$C$2:$C$1000,"&lt;&gt;SELL",$A$2:$A$1000,"&gt;"&amp;_xlfn.MAXIFS($A$2:$A$1000,$B$2:$B$1000,B751,$C$2:$C$1000,"SELL",$A$2:$A$1000,"&lt;"&amp;A751),$A$2:$A$1000,"&lt;="&amp;A751),"")</f>
        <v/>
      </c>
    </row>
    <row r="752">
      <c r="A752" s="29" t="n"/>
      <c r="B752" s="30" t="n"/>
      <c r="C752" s="30" t="n"/>
      <c r="D752" s="31" t="n"/>
      <c r="E752" s="30" t="n"/>
      <c r="F752" s="32">
        <f>IF(AND(ISNUMBER(D752),ISNUMBER(E752)),D752*E752,"")</f>
        <v/>
      </c>
      <c r="G752" s="31" t="n"/>
      <c r="H752" s="32">
        <f>IF(C752="SELL",F752-SUMIFS($F$2:$F$1000,$B$2:$B$1000,B752,$C$2:$C$1000,"&lt;&gt;SELL",$A$2:$A$1000,"&gt;"&amp;_xlfn.MAXIFS($A$2:$A$1000,$B$2:$B$1000,B752,$C$2:$C$1000,"SELL",$A$2:$A$1000,"&lt;"&amp;A752),$A$2:$A$1000,"&lt;="&amp;A752),"")</f>
        <v/>
      </c>
    </row>
    <row r="753">
      <c r="A753" s="29" t="n"/>
      <c r="B753" s="30" t="n"/>
      <c r="C753" s="30" t="n"/>
      <c r="D753" s="31" t="n"/>
      <c r="E753" s="30" t="n"/>
      <c r="F753" s="32">
        <f>IF(AND(ISNUMBER(D753),ISNUMBER(E753)),D753*E753,"")</f>
        <v/>
      </c>
      <c r="G753" s="31" t="n"/>
      <c r="H753" s="32">
        <f>IF(C753="SELL",F753-SUMIFS($F$2:$F$1000,$B$2:$B$1000,B753,$C$2:$C$1000,"&lt;&gt;SELL",$A$2:$A$1000,"&gt;"&amp;_xlfn.MAXIFS($A$2:$A$1000,$B$2:$B$1000,B753,$C$2:$C$1000,"SELL",$A$2:$A$1000,"&lt;"&amp;A753),$A$2:$A$1000,"&lt;="&amp;A753),"")</f>
        <v/>
      </c>
    </row>
    <row r="754">
      <c r="A754" s="29" t="n"/>
      <c r="B754" s="30" t="n"/>
      <c r="C754" s="30" t="n"/>
      <c r="D754" s="31" t="n"/>
      <c r="E754" s="30" t="n"/>
      <c r="F754" s="32">
        <f>IF(AND(ISNUMBER(D754),ISNUMBER(E754)),D754*E754,"")</f>
        <v/>
      </c>
      <c r="G754" s="31" t="n"/>
      <c r="H754" s="32">
        <f>IF(C754="SELL",F754-SUMIFS($F$2:$F$1000,$B$2:$B$1000,B754,$C$2:$C$1000,"&lt;&gt;SELL",$A$2:$A$1000,"&gt;"&amp;_xlfn.MAXIFS($A$2:$A$1000,$B$2:$B$1000,B754,$C$2:$C$1000,"SELL",$A$2:$A$1000,"&lt;"&amp;A754),$A$2:$A$1000,"&lt;="&amp;A754),"")</f>
        <v/>
      </c>
    </row>
    <row r="755">
      <c r="A755" s="29" t="n"/>
      <c r="B755" s="30" t="n"/>
      <c r="C755" s="30" t="n"/>
      <c r="D755" s="31" t="n"/>
      <c r="E755" s="30" t="n"/>
      <c r="F755" s="32">
        <f>IF(AND(ISNUMBER(D755),ISNUMBER(E755)),D755*E755,"")</f>
        <v/>
      </c>
      <c r="G755" s="31" t="n"/>
      <c r="H755" s="32">
        <f>IF(C755="SELL",F755-SUMIFS($F$2:$F$1000,$B$2:$B$1000,B755,$C$2:$C$1000,"&lt;&gt;SELL",$A$2:$A$1000,"&gt;"&amp;_xlfn.MAXIFS($A$2:$A$1000,$B$2:$B$1000,B755,$C$2:$C$1000,"SELL",$A$2:$A$1000,"&lt;"&amp;A755),$A$2:$A$1000,"&lt;="&amp;A755),"")</f>
        <v/>
      </c>
    </row>
    <row r="756">
      <c r="A756" s="29" t="n"/>
      <c r="B756" s="30" t="n"/>
      <c r="C756" s="30" t="n"/>
      <c r="D756" s="31" t="n"/>
      <c r="E756" s="30" t="n"/>
      <c r="F756" s="32">
        <f>IF(AND(ISNUMBER(D756),ISNUMBER(E756)),D756*E756,"")</f>
        <v/>
      </c>
      <c r="G756" s="31" t="n"/>
      <c r="H756" s="32">
        <f>IF(C756="SELL",F756-SUMIFS($F$2:$F$1000,$B$2:$B$1000,B756,$C$2:$C$1000,"&lt;&gt;SELL",$A$2:$A$1000,"&gt;"&amp;_xlfn.MAXIFS($A$2:$A$1000,$B$2:$B$1000,B756,$C$2:$C$1000,"SELL",$A$2:$A$1000,"&lt;"&amp;A756),$A$2:$A$1000,"&lt;="&amp;A756),"")</f>
        <v/>
      </c>
    </row>
    <row r="757">
      <c r="A757" s="29" t="n"/>
      <c r="B757" s="30" t="n"/>
      <c r="C757" s="30" t="n"/>
      <c r="D757" s="31" t="n"/>
      <c r="E757" s="30" t="n"/>
      <c r="F757" s="32">
        <f>IF(AND(ISNUMBER(D757),ISNUMBER(E757)),D757*E757,"")</f>
        <v/>
      </c>
      <c r="G757" s="31" t="n"/>
      <c r="H757" s="32">
        <f>IF(C757="SELL",F757-SUMIFS($F$2:$F$1000,$B$2:$B$1000,B757,$C$2:$C$1000,"&lt;&gt;SELL",$A$2:$A$1000,"&gt;"&amp;_xlfn.MAXIFS($A$2:$A$1000,$B$2:$B$1000,B757,$C$2:$C$1000,"SELL",$A$2:$A$1000,"&lt;"&amp;A757),$A$2:$A$1000,"&lt;="&amp;A757),"")</f>
        <v/>
      </c>
    </row>
    <row r="758">
      <c r="A758" s="29" t="n"/>
      <c r="B758" s="30" t="n"/>
      <c r="C758" s="30" t="n"/>
      <c r="D758" s="31" t="n"/>
      <c r="E758" s="30" t="n"/>
      <c r="F758" s="32">
        <f>IF(AND(ISNUMBER(D758),ISNUMBER(E758)),D758*E758,"")</f>
        <v/>
      </c>
      <c r="G758" s="31" t="n"/>
      <c r="H758" s="32">
        <f>IF(C758="SELL",F758-SUMIFS($F$2:$F$1000,$B$2:$B$1000,B758,$C$2:$C$1000,"&lt;&gt;SELL",$A$2:$A$1000,"&gt;"&amp;_xlfn.MAXIFS($A$2:$A$1000,$B$2:$B$1000,B758,$C$2:$C$1000,"SELL",$A$2:$A$1000,"&lt;"&amp;A758),$A$2:$A$1000,"&lt;="&amp;A758),"")</f>
        <v/>
      </c>
    </row>
    <row r="759">
      <c r="A759" s="29" t="n"/>
      <c r="B759" s="30" t="n"/>
      <c r="C759" s="30" t="n"/>
      <c r="D759" s="31" t="n"/>
      <c r="E759" s="30" t="n"/>
      <c r="F759" s="32">
        <f>IF(AND(ISNUMBER(D759),ISNUMBER(E759)),D759*E759,"")</f>
        <v/>
      </c>
      <c r="G759" s="31" t="n"/>
      <c r="H759" s="32">
        <f>IF(C759="SELL",F759-SUMIFS($F$2:$F$1000,$B$2:$B$1000,B759,$C$2:$C$1000,"&lt;&gt;SELL",$A$2:$A$1000,"&gt;"&amp;_xlfn.MAXIFS($A$2:$A$1000,$B$2:$B$1000,B759,$C$2:$C$1000,"SELL",$A$2:$A$1000,"&lt;"&amp;A759),$A$2:$A$1000,"&lt;="&amp;A759),"")</f>
        <v/>
      </c>
    </row>
    <row r="760">
      <c r="A760" s="29" t="n"/>
      <c r="B760" s="30" t="n"/>
      <c r="C760" s="30" t="n"/>
      <c r="D760" s="31" t="n"/>
      <c r="E760" s="30" t="n"/>
      <c r="F760" s="32">
        <f>IF(AND(ISNUMBER(D760),ISNUMBER(E760)),D760*E760,"")</f>
        <v/>
      </c>
      <c r="G760" s="31" t="n"/>
      <c r="H760" s="32">
        <f>IF(C760="SELL",F760-SUMIFS($F$2:$F$1000,$B$2:$B$1000,B760,$C$2:$C$1000,"&lt;&gt;SELL",$A$2:$A$1000,"&gt;"&amp;_xlfn.MAXIFS($A$2:$A$1000,$B$2:$B$1000,B760,$C$2:$C$1000,"SELL",$A$2:$A$1000,"&lt;"&amp;A760),$A$2:$A$1000,"&lt;="&amp;A760),"")</f>
        <v/>
      </c>
    </row>
    <row r="761">
      <c r="A761" s="29" t="n"/>
      <c r="B761" s="30" t="n"/>
      <c r="C761" s="30" t="n"/>
      <c r="D761" s="31" t="n"/>
      <c r="E761" s="30" t="n"/>
      <c r="F761" s="32">
        <f>IF(AND(ISNUMBER(D761),ISNUMBER(E761)),D761*E761,"")</f>
        <v/>
      </c>
      <c r="G761" s="31" t="n"/>
      <c r="H761" s="32">
        <f>IF(C761="SELL",F761-SUMIFS($F$2:$F$1000,$B$2:$B$1000,B761,$C$2:$C$1000,"&lt;&gt;SELL",$A$2:$A$1000,"&gt;"&amp;_xlfn.MAXIFS($A$2:$A$1000,$B$2:$B$1000,B761,$C$2:$C$1000,"SELL",$A$2:$A$1000,"&lt;"&amp;A761),$A$2:$A$1000,"&lt;="&amp;A761),"")</f>
        <v/>
      </c>
    </row>
    <row r="762">
      <c r="A762" s="29" t="n"/>
      <c r="B762" s="30" t="n"/>
      <c r="C762" s="30" t="n"/>
      <c r="D762" s="31" t="n"/>
      <c r="E762" s="30" t="n"/>
      <c r="F762" s="32">
        <f>IF(AND(ISNUMBER(D762),ISNUMBER(E762)),D762*E762,"")</f>
        <v/>
      </c>
      <c r="G762" s="31" t="n"/>
      <c r="H762" s="32">
        <f>IF(C762="SELL",F762-SUMIFS($F$2:$F$1000,$B$2:$B$1000,B762,$C$2:$C$1000,"&lt;&gt;SELL",$A$2:$A$1000,"&gt;"&amp;_xlfn.MAXIFS($A$2:$A$1000,$B$2:$B$1000,B762,$C$2:$C$1000,"SELL",$A$2:$A$1000,"&lt;"&amp;A762),$A$2:$A$1000,"&lt;="&amp;A762),"")</f>
        <v/>
      </c>
    </row>
    <row r="763">
      <c r="A763" s="29" t="n"/>
      <c r="B763" s="30" t="n"/>
      <c r="C763" s="30" t="n"/>
      <c r="D763" s="31" t="n"/>
      <c r="E763" s="30" t="n"/>
      <c r="F763" s="32">
        <f>IF(AND(ISNUMBER(D763),ISNUMBER(E763)),D763*E763,"")</f>
        <v/>
      </c>
      <c r="G763" s="31" t="n"/>
      <c r="H763" s="32">
        <f>IF(C763="SELL",F763-SUMIFS($F$2:$F$1000,$B$2:$B$1000,B763,$C$2:$C$1000,"&lt;&gt;SELL",$A$2:$A$1000,"&gt;"&amp;_xlfn.MAXIFS($A$2:$A$1000,$B$2:$B$1000,B763,$C$2:$C$1000,"SELL",$A$2:$A$1000,"&lt;"&amp;A763),$A$2:$A$1000,"&lt;="&amp;A763),"")</f>
        <v/>
      </c>
    </row>
    <row r="764">
      <c r="A764" s="29" t="n"/>
      <c r="B764" s="30" t="n"/>
      <c r="C764" s="30" t="n"/>
      <c r="D764" s="31" t="n"/>
      <c r="E764" s="30" t="n"/>
      <c r="F764" s="32">
        <f>IF(AND(ISNUMBER(D764),ISNUMBER(E764)),D764*E764,"")</f>
        <v/>
      </c>
      <c r="G764" s="31" t="n"/>
      <c r="H764" s="32">
        <f>IF(C764="SELL",F764-SUMIFS($F$2:$F$1000,$B$2:$B$1000,B764,$C$2:$C$1000,"&lt;&gt;SELL",$A$2:$A$1000,"&gt;"&amp;_xlfn.MAXIFS($A$2:$A$1000,$B$2:$B$1000,B764,$C$2:$C$1000,"SELL",$A$2:$A$1000,"&lt;"&amp;A764),$A$2:$A$1000,"&lt;="&amp;A764),"")</f>
        <v/>
      </c>
    </row>
    <row r="765">
      <c r="A765" s="29" t="n"/>
      <c r="B765" s="30" t="n"/>
      <c r="C765" s="30" t="n"/>
      <c r="D765" s="31" t="n"/>
      <c r="E765" s="30" t="n"/>
      <c r="F765" s="32">
        <f>IF(AND(ISNUMBER(D765),ISNUMBER(E765)),D765*E765,"")</f>
        <v/>
      </c>
      <c r="G765" s="31" t="n"/>
      <c r="H765" s="32">
        <f>IF(C765="SELL",F765-SUMIFS($F$2:$F$1000,$B$2:$B$1000,B765,$C$2:$C$1000,"&lt;&gt;SELL",$A$2:$A$1000,"&gt;"&amp;_xlfn.MAXIFS($A$2:$A$1000,$B$2:$B$1000,B765,$C$2:$C$1000,"SELL",$A$2:$A$1000,"&lt;"&amp;A765),$A$2:$A$1000,"&lt;="&amp;A765),"")</f>
        <v/>
      </c>
    </row>
    <row r="766">
      <c r="A766" s="29" t="n"/>
      <c r="B766" s="30" t="n"/>
      <c r="C766" s="30" t="n"/>
      <c r="D766" s="31" t="n"/>
      <c r="E766" s="30" t="n"/>
      <c r="F766" s="32">
        <f>IF(AND(ISNUMBER(D766),ISNUMBER(E766)),D766*E766,"")</f>
        <v/>
      </c>
      <c r="G766" s="31" t="n"/>
      <c r="H766" s="32">
        <f>IF(C766="SELL",F766-SUMIFS($F$2:$F$1000,$B$2:$B$1000,B766,$C$2:$C$1000,"&lt;&gt;SELL",$A$2:$A$1000,"&gt;"&amp;_xlfn.MAXIFS($A$2:$A$1000,$B$2:$B$1000,B766,$C$2:$C$1000,"SELL",$A$2:$A$1000,"&lt;"&amp;A766),$A$2:$A$1000,"&lt;="&amp;A766),"")</f>
        <v/>
      </c>
    </row>
    <row r="767">
      <c r="A767" s="29" t="n"/>
      <c r="B767" s="30" t="n"/>
      <c r="C767" s="30" t="n"/>
      <c r="D767" s="31" t="n"/>
      <c r="E767" s="30" t="n"/>
      <c r="F767" s="32">
        <f>IF(AND(ISNUMBER(D767),ISNUMBER(E767)),D767*E767,"")</f>
        <v/>
      </c>
      <c r="G767" s="31" t="n"/>
      <c r="H767" s="32">
        <f>IF(C767="SELL",F767-SUMIFS($F$2:$F$1000,$B$2:$B$1000,B767,$C$2:$C$1000,"&lt;&gt;SELL",$A$2:$A$1000,"&gt;"&amp;_xlfn.MAXIFS($A$2:$A$1000,$B$2:$B$1000,B767,$C$2:$C$1000,"SELL",$A$2:$A$1000,"&lt;"&amp;A767),$A$2:$A$1000,"&lt;="&amp;A767),"")</f>
        <v/>
      </c>
    </row>
    <row r="768">
      <c r="A768" s="29" t="n"/>
      <c r="B768" s="30" t="n"/>
      <c r="C768" s="30" t="n"/>
      <c r="D768" s="31" t="n"/>
      <c r="E768" s="30" t="n"/>
      <c r="F768" s="32">
        <f>IF(AND(ISNUMBER(D768),ISNUMBER(E768)),D768*E768,"")</f>
        <v/>
      </c>
      <c r="G768" s="31" t="n"/>
      <c r="H768" s="32">
        <f>IF(C768="SELL",F768-SUMIFS($F$2:$F$1000,$B$2:$B$1000,B768,$C$2:$C$1000,"&lt;&gt;SELL",$A$2:$A$1000,"&gt;"&amp;_xlfn.MAXIFS($A$2:$A$1000,$B$2:$B$1000,B768,$C$2:$C$1000,"SELL",$A$2:$A$1000,"&lt;"&amp;A768),$A$2:$A$1000,"&lt;="&amp;A768),"")</f>
        <v/>
      </c>
    </row>
    <row r="769">
      <c r="A769" s="29" t="n"/>
      <c r="B769" s="30" t="n"/>
      <c r="C769" s="30" t="n"/>
      <c r="D769" s="31" t="n"/>
      <c r="E769" s="30" t="n"/>
      <c r="F769" s="32">
        <f>IF(AND(ISNUMBER(D769),ISNUMBER(E769)),D769*E769,"")</f>
        <v/>
      </c>
      <c r="G769" s="31" t="n"/>
      <c r="H769" s="32">
        <f>IF(C769="SELL",F769-SUMIFS($F$2:$F$1000,$B$2:$B$1000,B769,$C$2:$C$1000,"&lt;&gt;SELL",$A$2:$A$1000,"&gt;"&amp;_xlfn.MAXIFS($A$2:$A$1000,$B$2:$B$1000,B769,$C$2:$C$1000,"SELL",$A$2:$A$1000,"&lt;"&amp;A769),$A$2:$A$1000,"&lt;="&amp;A769),"")</f>
        <v/>
      </c>
    </row>
    <row r="770">
      <c r="A770" s="29" t="n"/>
      <c r="B770" s="30" t="n"/>
      <c r="C770" s="30" t="n"/>
      <c r="D770" s="31" t="n"/>
      <c r="E770" s="30" t="n"/>
      <c r="F770" s="32">
        <f>IF(AND(ISNUMBER(D770),ISNUMBER(E770)),D770*E770,"")</f>
        <v/>
      </c>
      <c r="G770" s="31" t="n"/>
      <c r="H770" s="32">
        <f>IF(C770="SELL",F770-SUMIFS($F$2:$F$1000,$B$2:$B$1000,B770,$C$2:$C$1000,"&lt;&gt;SELL",$A$2:$A$1000,"&gt;"&amp;_xlfn.MAXIFS($A$2:$A$1000,$B$2:$B$1000,B770,$C$2:$C$1000,"SELL",$A$2:$A$1000,"&lt;"&amp;A770),$A$2:$A$1000,"&lt;="&amp;A770),"")</f>
        <v/>
      </c>
    </row>
    <row r="771">
      <c r="A771" s="29" t="n"/>
      <c r="B771" s="30" t="n"/>
      <c r="C771" s="30" t="n"/>
      <c r="D771" s="31" t="n"/>
      <c r="E771" s="30" t="n"/>
      <c r="F771" s="32">
        <f>IF(AND(ISNUMBER(D771),ISNUMBER(E771)),D771*E771,"")</f>
        <v/>
      </c>
      <c r="G771" s="31" t="n"/>
      <c r="H771" s="32">
        <f>IF(C771="SELL",F771-SUMIFS($F$2:$F$1000,$B$2:$B$1000,B771,$C$2:$C$1000,"&lt;&gt;SELL",$A$2:$A$1000,"&gt;"&amp;_xlfn.MAXIFS($A$2:$A$1000,$B$2:$B$1000,B771,$C$2:$C$1000,"SELL",$A$2:$A$1000,"&lt;"&amp;A771),$A$2:$A$1000,"&lt;="&amp;A771),"")</f>
        <v/>
      </c>
    </row>
    <row r="772">
      <c r="A772" s="29" t="n"/>
      <c r="B772" s="30" t="n"/>
      <c r="C772" s="30" t="n"/>
      <c r="D772" s="31" t="n"/>
      <c r="E772" s="30" t="n"/>
      <c r="F772" s="32">
        <f>IF(AND(ISNUMBER(D772),ISNUMBER(E772)),D772*E772,"")</f>
        <v/>
      </c>
      <c r="G772" s="31" t="n"/>
      <c r="H772" s="32">
        <f>IF(C772="SELL",F772-SUMIFS($F$2:$F$1000,$B$2:$B$1000,B772,$C$2:$C$1000,"&lt;&gt;SELL",$A$2:$A$1000,"&gt;"&amp;_xlfn.MAXIFS($A$2:$A$1000,$B$2:$B$1000,B772,$C$2:$C$1000,"SELL",$A$2:$A$1000,"&lt;"&amp;A772),$A$2:$A$1000,"&lt;="&amp;A772),"")</f>
        <v/>
      </c>
    </row>
    <row r="773">
      <c r="A773" s="29" t="n"/>
      <c r="B773" s="30" t="n"/>
      <c r="C773" s="30" t="n"/>
      <c r="D773" s="31" t="n"/>
      <c r="E773" s="30" t="n"/>
      <c r="F773" s="32">
        <f>IF(AND(ISNUMBER(D773),ISNUMBER(E773)),D773*E773,"")</f>
        <v/>
      </c>
      <c r="G773" s="31" t="n"/>
      <c r="H773" s="32">
        <f>IF(C773="SELL",F773-SUMIFS($F$2:$F$1000,$B$2:$B$1000,B773,$C$2:$C$1000,"&lt;&gt;SELL",$A$2:$A$1000,"&gt;"&amp;_xlfn.MAXIFS($A$2:$A$1000,$B$2:$B$1000,B773,$C$2:$C$1000,"SELL",$A$2:$A$1000,"&lt;"&amp;A773),$A$2:$A$1000,"&lt;="&amp;A773),"")</f>
        <v/>
      </c>
    </row>
    <row r="774">
      <c r="A774" s="29" t="n"/>
      <c r="B774" s="30" t="n"/>
      <c r="C774" s="30" t="n"/>
      <c r="D774" s="31" t="n"/>
      <c r="E774" s="30" t="n"/>
      <c r="F774" s="32">
        <f>IF(AND(ISNUMBER(D774),ISNUMBER(E774)),D774*E774,"")</f>
        <v/>
      </c>
      <c r="G774" s="31" t="n"/>
      <c r="H774" s="32">
        <f>IF(C774="SELL",F774-SUMIFS($F$2:$F$1000,$B$2:$B$1000,B774,$C$2:$C$1000,"&lt;&gt;SELL",$A$2:$A$1000,"&gt;"&amp;_xlfn.MAXIFS($A$2:$A$1000,$B$2:$B$1000,B774,$C$2:$C$1000,"SELL",$A$2:$A$1000,"&lt;"&amp;A774),$A$2:$A$1000,"&lt;="&amp;A774),"")</f>
        <v/>
      </c>
    </row>
    <row r="775">
      <c r="A775" s="29" t="n"/>
      <c r="B775" s="30" t="n"/>
      <c r="C775" s="30" t="n"/>
      <c r="D775" s="31" t="n"/>
      <c r="E775" s="30" t="n"/>
      <c r="F775" s="32">
        <f>IF(AND(ISNUMBER(D775),ISNUMBER(E775)),D775*E775,"")</f>
        <v/>
      </c>
      <c r="G775" s="31" t="n"/>
      <c r="H775" s="32">
        <f>IF(C775="SELL",F775-SUMIFS($F$2:$F$1000,$B$2:$B$1000,B775,$C$2:$C$1000,"&lt;&gt;SELL",$A$2:$A$1000,"&gt;"&amp;_xlfn.MAXIFS($A$2:$A$1000,$B$2:$B$1000,B775,$C$2:$C$1000,"SELL",$A$2:$A$1000,"&lt;"&amp;A775),$A$2:$A$1000,"&lt;="&amp;A775),"")</f>
        <v/>
      </c>
    </row>
    <row r="776">
      <c r="A776" s="29" t="n"/>
      <c r="B776" s="30" t="n"/>
      <c r="C776" s="30" t="n"/>
      <c r="D776" s="31" t="n"/>
      <c r="E776" s="30" t="n"/>
      <c r="F776" s="32">
        <f>IF(AND(ISNUMBER(D776),ISNUMBER(E776)),D776*E776,"")</f>
        <v/>
      </c>
      <c r="G776" s="31" t="n"/>
      <c r="H776" s="32">
        <f>IF(C776="SELL",F776-SUMIFS($F$2:$F$1000,$B$2:$B$1000,B776,$C$2:$C$1000,"&lt;&gt;SELL",$A$2:$A$1000,"&gt;"&amp;_xlfn.MAXIFS($A$2:$A$1000,$B$2:$B$1000,B776,$C$2:$C$1000,"SELL",$A$2:$A$1000,"&lt;"&amp;A776),$A$2:$A$1000,"&lt;="&amp;A776),"")</f>
        <v/>
      </c>
    </row>
    <row r="777">
      <c r="A777" s="29" t="n"/>
      <c r="B777" s="30" t="n"/>
      <c r="C777" s="30" t="n"/>
      <c r="D777" s="31" t="n"/>
      <c r="E777" s="30" t="n"/>
      <c r="F777" s="32">
        <f>IF(AND(ISNUMBER(D777),ISNUMBER(E777)),D777*E777,"")</f>
        <v/>
      </c>
      <c r="G777" s="31" t="n"/>
      <c r="H777" s="32">
        <f>IF(C777="SELL",F777-SUMIFS($F$2:$F$1000,$B$2:$B$1000,B777,$C$2:$C$1000,"&lt;&gt;SELL",$A$2:$A$1000,"&gt;"&amp;_xlfn.MAXIFS($A$2:$A$1000,$B$2:$B$1000,B777,$C$2:$C$1000,"SELL",$A$2:$A$1000,"&lt;"&amp;A777),$A$2:$A$1000,"&lt;="&amp;A777),"")</f>
        <v/>
      </c>
    </row>
    <row r="778">
      <c r="A778" s="29" t="n"/>
      <c r="B778" s="30" t="n"/>
      <c r="C778" s="30" t="n"/>
      <c r="D778" s="31" t="n"/>
      <c r="E778" s="30" t="n"/>
      <c r="F778" s="32">
        <f>IF(AND(ISNUMBER(D778),ISNUMBER(E778)),D778*E778,"")</f>
        <v/>
      </c>
      <c r="G778" s="31" t="n"/>
      <c r="H778" s="32">
        <f>IF(C778="SELL",F778-SUMIFS($F$2:$F$1000,$B$2:$B$1000,B778,$C$2:$C$1000,"&lt;&gt;SELL",$A$2:$A$1000,"&gt;"&amp;_xlfn.MAXIFS($A$2:$A$1000,$B$2:$B$1000,B778,$C$2:$C$1000,"SELL",$A$2:$A$1000,"&lt;"&amp;A778),$A$2:$A$1000,"&lt;="&amp;A778),"")</f>
        <v/>
      </c>
    </row>
    <row r="779">
      <c r="A779" s="29" t="n"/>
      <c r="B779" s="30" t="n"/>
      <c r="C779" s="30" t="n"/>
      <c r="D779" s="31" t="n"/>
      <c r="E779" s="30" t="n"/>
      <c r="F779" s="32">
        <f>IF(AND(ISNUMBER(D779),ISNUMBER(E779)),D779*E779,"")</f>
        <v/>
      </c>
      <c r="G779" s="31" t="n"/>
      <c r="H779" s="32">
        <f>IF(C779="SELL",F779-SUMIFS($F$2:$F$1000,$B$2:$B$1000,B779,$C$2:$C$1000,"&lt;&gt;SELL",$A$2:$A$1000,"&gt;"&amp;_xlfn.MAXIFS($A$2:$A$1000,$B$2:$B$1000,B779,$C$2:$C$1000,"SELL",$A$2:$A$1000,"&lt;"&amp;A779),$A$2:$A$1000,"&lt;="&amp;A779),"")</f>
        <v/>
      </c>
    </row>
    <row r="780">
      <c r="A780" s="29" t="n"/>
      <c r="B780" s="30" t="n"/>
      <c r="C780" s="30" t="n"/>
      <c r="D780" s="31" t="n"/>
      <c r="E780" s="30" t="n"/>
      <c r="F780" s="32">
        <f>IF(AND(ISNUMBER(D780),ISNUMBER(E780)),D780*E780,"")</f>
        <v/>
      </c>
      <c r="G780" s="31" t="n"/>
      <c r="H780" s="32">
        <f>IF(C780="SELL",F780-SUMIFS($F$2:$F$1000,$B$2:$B$1000,B780,$C$2:$C$1000,"&lt;&gt;SELL",$A$2:$A$1000,"&gt;"&amp;_xlfn.MAXIFS($A$2:$A$1000,$B$2:$B$1000,B780,$C$2:$C$1000,"SELL",$A$2:$A$1000,"&lt;"&amp;A780),$A$2:$A$1000,"&lt;="&amp;A780),"")</f>
        <v/>
      </c>
    </row>
    <row r="781">
      <c r="A781" s="29" t="n"/>
      <c r="B781" s="30" t="n"/>
      <c r="C781" s="30" t="n"/>
      <c r="D781" s="31" t="n"/>
      <c r="E781" s="30" t="n"/>
      <c r="F781" s="32">
        <f>IF(AND(ISNUMBER(D781),ISNUMBER(E781)),D781*E781,"")</f>
        <v/>
      </c>
      <c r="G781" s="31" t="n"/>
      <c r="H781" s="32">
        <f>IF(C781="SELL",F781-SUMIFS($F$2:$F$1000,$B$2:$B$1000,B781,$C$2:$C$1000,"&lt;&gt;SELL",$A$2:$A$1000,"&gt;"&amp;_xlfn.MAXIFS($A$2:$A$1000,$B$2:$B$1000,B781,$C$2:$C$1000,"SELL",$A$2:$A$1000,"&lt;"&amp;A781),$A$2:$A$1000,"&lt;="&amp;A781),"")</f>
        <v/>
      </c>
    </row>
    <row r="782">
      <c r="A782" s="29" t="n"/>
      <c r="B782" s="30" t="n"/>
      <c r="C782" s="30" t="n"/>
      <c r="D782" s="31" t="n"/>
      <c r="E782" s="30" t="n"/>
      <c r="F782" s="32">
        <f>IF(AND(ISNUMBER(D782),ISNUMBER(E782)),D782*E782,"")</f>
        <v/>
      </c>
      <c r="G782" s="31" t="n"/>
      <c r="H782" s="32">
        <f>IF(C782="SELL",F782-SUMIFS($F$2:$F$1000,$B$2:$B$1000,B782,$C$2:$C$1000,"&lt;&gt;SELL",$A$2:$A$1000,"&gt;"&amp;_xlfn.MAXIFS($A$2:$A$1000,$B$2:$B$1000,B782,$C$2:$C$1000,"SELL",$A$2:$A$1000,"&lt;"&amp;A782),$A$2:$A$1000,"&lt;="&amp;A782),"")</f>
        <v/>
      </c>
    </row>
    <row r="783">
      <c r="A783" s="29" t="n"/>
      <c r="B783" s="30" t="n"/>
      <c r="C783" s="30" t="n"/>
      <c r="D783" s="31" t="n"/>
      <c r="E783" s="30" t="n"/>
      <c r="F783" s="32">
        <f>IF(AND(ISNUMBER(D783),ISNUMBER(E783)),D783*E783,"")</f>
        <v/>
      </c>
      <c r="G783" s="31" t="n"/>
      <c r="H783" s="32">
        <f>IF(C783="SELL",F783-SUMIFS($F$2:$F$1000,$B$2:$B$1000,B783,$C$2:$C$1000,"&lt;&gt;SELL",$A$2:$A$1000,"&gt;"&amp;_xlfn.MAXIFS($A$2:$A$1000,$B$2:$B$1000,B783,$C$2:$C$1000,"SELL",$A$2:$A$1000,"&lt;"&amp;A783),$A$2:$A$1000,"&lt;="&amp;A783),"")</f>
        <v/>
      </c>
    </row>
    <row r="784">
      <c r="A784" s="29" t="n"/>
      <c r="B784" s="30" t="n"/>
      <c r="C784" s="30" t="n"/>
      <c r="D784" s="31" t="n"/>
      <c r="E784" s="30" t="n"/>
      <c r="F784" s="32">
        <f>IF(AND(ISNUMBER(D784),ISNUMBER(E784)),D784*E784,"")</f>
        <v/>
      </c>
      <c r="G784" s="31" t="n"/>
      <c r="H784" s="32">
        <f>IF(C784="SELL",F784-SUMIFS($F$2:$F$1000,$B$2:$B$1000,B784,$C$2:$C$1000,"&lt;&gt;SELL",$A$2:$A$1000,"&gt;"&amp;_xlfn.MAXIFS($A$2:$A$1000,$B$2:$B$1000,B784,$C$2:$C$1000,"SELL",$A$2:$A$1000,"&lt;"&amp;A784),$A$2:$A$1000,"&lt;="&amp;A784),"")</f>
        <v/>
      </c>
    </row>
    <row r="785">
      <c r="A785" s="29" t="n"/>
      <c r="B785" s="30" t="n"/>
      <c r="C785" s="30" t="n"/>
      <c r="D785" s="31" t="n"/>
      <c r="E785" s="30" t="n"/>
      <c r="F785" s="32">
        <f>IF(AND(ISNUMBER(D785),ISNUMBER(E785)),D785*E785,"")</f>
        <v/>
      </c>
      <c r="G785" s="31" t="n"/>
      <c r="H785" s="32">
        <f>IF(C785="SELL",F785-SUMIFS($F$2:$F$1000,$B$2:$B$1000,B785,$C$2:$C$1000,"&lt;&gt;SELL",$A$2:$A$1000,"&gt;"&amp;_xlfn.MAXIFS($A$2:$A$1000,$B$2:$B$1000,B785,$C$2:$C$1000,"SELL",$A$2:$A$1000,"&lt;"&amp;A785),$A$2:$A$1000,"&lt;="&amp;A785),"")</f>
        <v/>
      </c>
    </row>
    <row r="786">
      <c r="A786" s="29" t="n"/>
      <c r="B786" s="30" t="n"/>
      <c r="C786" s="30" t="n"/>
      <c r="D786" s="31" t="n"/>
      <c r="E786" s="30" t="n"/>
      <c r="F786" s="32">
        <f>IF(AND(ISNUMBER(D786),ISNUMBER(E786)),D786*E786,"")</f>
        <v/>
      </c>
      <c r="G786" s="31" t="n"/>
      <c r="H786" s="32">
        <f>IF(C786="SELL",F786-SUMIFS($F$2:$F$1000,$B$2:$B$1000,B786,$C$2:$C$1000,"&lt;&gt;SELL",$A$2:$A$1000,"&gt;"&amp;_xlfn.MAXIFS($A$2:$A$1000,$B$2:$B$1000,B786,$C$2:$C$1000,"SELL",$A$2:$A$1000,"&lt;"&amp;A786),$A$2:$A$1000,"&lt;="&amp;A786),"")</f>
        <v/>
      </c>
    </row>
    <row r="787">
      <c r="A787" s="29" t="n"/>
      <c r="B787" s="30" t="n"/>
      <c r="C787" s="30" t="n"/>
      <c r="D787" s="31" t="n"/>
      <c r="E787" s="30" t="n"/>
      <c r="F787" s="32">
        <f>IF(AND(ISNUMBER(D787),ISNUMBER(E787)),D787*E787,"")</f>
        <v/>
      </c>
      <c r="G787" s="31" t="n"/>
      <c r="H787" s="32">
        <f>IF(C787="SELL",F787-SUMIFS($F$2:$F$1000,$B$2:$B$1000,B787,$C$2:$C$1000,"&lt;&gt;SELL",$A$2:$A$1000,"&gt;"&amp;_xlfn.MAXIFS($A$2:$A$1000,$B$2:$B$1000,B787,$C$2:$C$1000,"SELL",$A$2:$A$1000,"&lt;"&amp;A787),$A$2:$A$1000,"&lt;="&amp;A787),"")</f>
        <v/>
      </c>
    </row>
    <row r="788">
      <c r="A788" s="29" t="n"/>
      <c r="B788" s="30" t="n"/>
      <c r="C788" s="30" t="n"/>
      <c r="D788" s="31" t="n"/>
      <c r="E788" s="30" t="n"/>
      <c r="F788" s="32">
        <f>IF(AND(ISNUMBER(D788),ISNUMBER(E788)),D788*E788,"")</f>
        <v/>
      </c>
      <c r="G788" s="31" t="n"/>
      <c r="H788" s="32">
        <f>IF(C788="SELL",F788-SUMIFS($F$2:$F$1000,$B$2:$B$1000,B788,$C$2:$C$1000,"&lt;&gt;SELL",$A$2:$A$1000,"&gt;"&amp;_xlfn.MAXIFS($A$2:$A$1000,$B$2:$B$1000,B788,$C$2:$C$1000,"SELL",$A$2:$A$1000,"&lt;"&amp;A788),$A$2:$A$1000,"&lt;="&amp;A788),"")</f>
        <v/>
      </c>
    </row>
    <row r="789">
      <c r="A789" s="29" t="n"/>
      <c r="B789" s="30" t="n"/>
      <c r="C789" s="30" t="n"/>
      <c r="D789" s="31" t="n"/>
      <c r="E789" s="30" t="n"/>
      <c r="F789" s="32">
        <f>IF(AND(ISNUMBER(D789),ISNUMBER(E789)),D789*E789,"")</f>
        <v/>
      </c>
      <c r="G789" s="31" t="n"/>
      <c r="H789" s="32">
        <f>IF(C789="SELL",F789-SUMIFS($F$2:$F$1000,$B$2:$B$1000,B789,$C$2:$C$1000,"&lt;&gt;SELL",$A$2:$A$1000,"&gt;"&amp;_xlfn.MAXIFS($A$2:$A$1000,$B$2:$B$1000,B789,$C$2:$C$1000,"SELL",$A$2:$A$1000,"&lt;"&amp;A789),$A$2:$A$1000,"&lt;="&amp;A789),"")</f>
        <v/>
      </c>
    </row>
    <row r="790">
      <c r="A790" s="29" t="n"/>
      <c r="B790" s="30" t="n"/>
      <c r="C790" s="30" t="n"/>
      <c r="D790" s="31" t="n"/>
      <c r="E790" s="30" t="n"/>
      <c r="F790" s="32">
        <f>IF(AND(ISNUMBER(D790),ISNUMBER(E790)),D790*E790,"")</f>
        <v/>
      </c>
      <c r="G790" s="31" t="n"/>
      <c r="H790" s="32">
        <f>IF(C790="SELL",F790-SUMIFS($F$2:$F$1000,$B$2:$B$1000,B790,$C$2:$C$1000,"&lt;&gt;SELL",$A$2:$A$1000,"&gt;"&amp;_xlfn.MAXIFS($A$2:$A$1000,$B$2:$B$1000,B790,$C$2:$C$1000,"SELL",$A$2:$A$1000,"&lt;"&amp;A790),$A$2:$A$1000,"&lt;="&amp;A790),"")</f>
        <v/>
      </c>
    </row>
    <row r="791">
      <c r="A791" s="29" t="n"/>
      <c r="B791" s="30" t="n"/>
      <c r="C791" s="30" t="n"/>
      <c r="D791" s="31" t="n"/>
      <c r="E791" s="30" t="n"/>
      <c r="F791" s="32">
        <f>IF(AND(ISNUMBER(D791),ISNUMBER(E791)),D791*E791,"")</f>
        <v/>
      </c>
      <c r="G791" s="31" t="n"/>
      <c r="H791" s="32">
        <f>IF(C791="SELL",F791-SUMIFS($F$2:$F$1000,$B$2:$B$1000,B791,$C$2:$C$1000,"&lt;&gt;SELL",$A$2:$A$1000,"&gt;"&amp;_xlfn.MAXIFS($A$2:$A$1000,$B$2:$B$1000,B791,$C$2:$C$1000,"SELL",$A$2:$A$1000,"&lt;"&amp;A791),$A$2:$A$1000,"&lt;="&amp;A791),"")</f>
        <v/>
      </c>
    </row>
    <row r="792">
      <c r="A792" s="29" t="n"/>
      <c r="B792" s="30" t="n"/>
      <c r="C792" s="30" t="n"/>
      <c r="D792" s="31" t="n"/>
      <c r="E792" s="30" t="n"/>
      <c r="F792" s="32">
        <f>IF(AND(ISNUMBER(D792),ISNUMBER(E792)),D792*E792,"")</f>
        <v/>
      </c>
      <c r="G792" s="31" t="n"/>
      <c r="H792" s="32">
        <f>IF(C792="SELL",F792-SUMIFS($F$2:$F$1000,$B$2:$B$1000,B792,$C$2:$C$1000,"&lt;&gt;SELL",$A$2:$A$1000,"&gt;"&amp;_xlfn.MAXIFS($A$2:$A$1000,$B$2:$B$1000,B792,$C$2:$C$1000,"SELL",$A$2:$A$1000,"&lt;"&amp;A792),$A$2:$A$1000,"&lt;="&amp;A792),"")</f>
        <v/>
      </c>
    </row>
    <row r="793">
      <c r="A793" s="29" t="n"/>
      <c r="B793" s="30" t="n"/>
      <c r="C793" s="30" t="n"/>
      <c r="D793" s="31" t="n"/>
      <c r="E793" s="30" t="n"/>
      <c r="F793" s="32">
        <f>IF(AND(ISNUMBER(D793),ISNUMBER(E793)),D793*E793,"")</f>
        <v/>
      </c>
      <c r="G793" s="31" t="n"/>
      <c r="H793" s="32">
        <f>IF(C793="SELL",F793-SUMIFS($F$2:$F$1000,$B$2:$B$1000,B793,$C$2:$C$1000,"&lt;&gt;SELL",$A$2:$A$1000,"&gt;"&amp;_xlfn.MAXIFS($A$2:$A$1000,$B$2:$B$1000,B793,$C$2:$C$1000,"SELL",$A$2:$A$1000,"&lt;"&amp;A793),$A$2:$A$1000,"&lt;="&amp;A793),"")</f>
        <v/>
      </c>
    </row>
    <row r="794">
      <c r="A794" s="29" t="n"/>
      <c r="B794" s="30" t="n"/>
      <c r="C794" s="30" t="n"/>
      <c r="D794" s="31" t="n"/>
      <c r="E794" s="30" t="n"/>
      <c r="F794" s="32">
        <f>IF(AND(ISNUMBER(D794),ISNUMBER(E794)),D794*E794,"")</f>
        <v/>
      </c>
      <c r="G794" s="31" t="n"/>
      <c r="H794" s="32">
        <f>IF(C794="SELL",F794-SUMIFS($F$2:$F$1000,$B$2:$B$1000,B794,$C$2:$C$1000,"&lt;&gt;SELL",$A$2:$A$1000,"&gt;"&amp;_xlfn.MAXIFS($A$2:$A$1000,$B$2:$B$1000,B794,$C$2:$C$1000,"SELL",$A$2:$A$1000,"&lt;"&amp;A794),$A$2:$A$1000,"&lt;="&amp;A794),"")</f>
        <v/>
      </c>
    </row>
    <row r="795">
      <c r="A795" s="29" t="n"/>
      <c r="B795" s="30" t="n"/>
      <c r="C795" s="30" t="n"/>
      <c r="D795" s="31" t="n"/>
      <c r="E795" s="30" t="n"/>
      <c r="F795" s="32">
        <f>IF(AND(ISNUMBER(D795),ISNUMBER(E795)),D795*E795,"")</f>
        <v/>
      </c>
      <c r="G795" s="31" t="n"/>
      <c r="H795" s="32">
        <f>IF(C795="SELL",F795-SUMIFS($F$2:$F$1000,$B$2:$B$1000,B795,$C$2:$C$1000,"&lt;&gt;SELL",$A$2:$A$1000,"&gt;"&amp;_xlfn.MAXIFS($A$2:$A$1000,$B$2:$B$1000,B795,$C$2:$C$1000,"SELL",$A$2:$A$1000,"&lt;"&amp;A795),$A$2:$A$1000,"&lt;="&amp;A795),"")</f>
        <v/>
      </c>
    </row>
    <row r="796">
      <c r="A796" s="29" t="n"/>
      <c r="B796" s="30" t="n"/>
      <c r="C796" s="30" t="n"/>
      <c r="D796" s="31" t="n"/>
      <c r="E796" s="30" t="n"/>
      <c r="F796" s="32">
        <f>IF(AND(ISNUMBER(D796),ISNUMBER(E796)),D796*E796,"")</f>
        <v/>
      </c>
      <c r="G796" s="31" t="n"/>
      <c r="H796" s="32">
        <f>IF(C796="SELL",F796-SUMIFS($F$2:$F$1000,$B$2:$B$1000,B796,$C$2:$C$1000,"&lt;&gt;SELL",$A$2:$A$1000,"&gt;"&amp;_xlfn.MAXIFS($A$2:$A$1000,$B$2:$B$1000,B796,$C$2:$C$1000,"SELL",$A$2:$A$1000,"&lt;"&amp;A796),$A$2:$A$1000,"&lt;="&amp;A796),"")</f>
        <v/>
      </c>
    </row>
    <row r="797">
      <c r="A797" s="29" t="n"/>
      <c r="B797" s="30" t="n"/>
      <c r="C797" s="30" t="n"/>
      <c r="D797" s="31" t="n"/>
      <c r="E797" s="30" t="n"/>
      <c r="F797" s="32">
        <f>IF(AND(ISNUMBER(D797),ISNUMBER(E797)),D797*E797,"")</f>
        <v/>
      </c>
      <c r="G797" s="31" t="n"/>
      <c r="H797" s="32">
        <f>IF(C797="SELL",F797-SUMIFS($F$2:$F$1000,$B$2:$B$1000,B797,$C$2:$C$1000,"&lt;&gt;SELL",$A$2:$A$1000,"&gt;"&amp;_xlfn.MAXIFS($A$2:$A$1000,$B$2:$B$1000,B797,$C$2:$C$1000,"SELL",$A$2:$A$1000,"&lt;"&amp;A797),$A$2:$A$1000,"&lt;="&amp;A797),"")</f>
        <v/>
      </c>
    </row>
    <row r="798">
      <c r="A798" s="29" t="n"/>
      <c r="B798" s="30" t="n"/>
      <c r="C798" s="30" t="n"/>
      <c r="D798" s="31" t="n"/>
      <c r="E798" s="30" t="n"/>
      <c r="F798" s="32">
        <f>IF(AND(ISNUMBER(D798),ISNUMBER(E798)),D798*E798,"")</f>
        <v/>
      </c>
      <c r="G798" s="31" t="n"/>
      <c r="H798" s="32">
        <f>IF(C798="SELL",F798-SUMIFS($F$2:$F$1000,$B$2:$B$1000,B798,$C$2:$C$1000,"&lt;&gt;SELL",$A$2:$A$1000,"&gt;"&amp;_xlfn.MAXIFS($A$2:$A$1000,$B$2:$B$1000,B798,$C$2:$C$1000,"SELL",$A$2:$A$1000,"&lt;"&amp;A798),$A$2:$A$1000,"&lt;="&amp;A798),"")</f>
        <v/>
      </c>
    </row>
    <row r="799">
      <c r="A799" s="29" t="n"/>
      <c r="B799" s="30" t="n"/>
      <c r="C799" s="30" t="n"/>
      <c r="D799" s="31" t="n"/>
      <c r="E799" s="30" t="n"/>
      <c r="F799" s="32">
        <f>IF(AND(ISNUMBER(D799),ISNUMBER(E799)),D799*E799,"")</f>
        <v/>
      </c>
      <c r="G799" s="31" t="n"/>
      <c r="H799" s="32">
        <f>IF(C799="SELL",F799-SUMIFS($F$2:$F$1000,$B$2:$B$1000,B799,$C$2:$C$1000,"&lt;&gt;SELL",$A$2:$A$1000,"&gt;"&amp;_xlfn.MAXIFS($A$2:$A$1000,$B$2:$B$1000,B799,$C$2:$C$1000,"SELL",$A$2:$A$1000,"&lt;"&amp;A799),$A$2:$A$1000,"&lt;="&amp;A799),"")</f>
        <v/>
      </c>
    </row>
    <row r="800">
      <c r="A800" s="29" t="n"/>
      <c r="B800" s="30" t="n"/>
      <c r="C800" s="30" t="n"/>
      <c r="D800" s="31" t="n"/>
      <c r="E800" s="30" t="n"/>
      <c r="F800" s="32">
        <f>IF(AND(ISNUMBER(D800),ISNUMBER(E800)),D800*E800,"")</f>
        <v/>
      </c>
      <c r="G800" s="31" t="n"/>
      <c r="H800" s="32">
        <f>IF(C800="SELL",F800-SUMIFS($F$2:$F$1000,$B$2:$B$1000,B800,$C$2:$C$1000,"&lt;&gt;SELL",$A$2:$A$1000,"&gt;"&amp;_xlfn.MAXIFS($A$2:$A$1000,$B$2:$B$1000,B800,$C$2:$C$1000,"SELL",$A$2:$A$1000,"&lt;"&amp;A800),$A$2:$A$1000,"&lt;="&amp;A800),"")</f>
        <v/>
      </c>
    </row>
    <row r="801">
      <c r="A801" s="29" t="n"/>
      <c r="B801" s="30" t="n"/>
      <c r="C801" s="30" t="n"/>
      <c r="D801" s="31" t="n"/>
      <c r="E801" s="30" t="n"/>
      <c r="F801" s="32">
        <f>IF(AND(ISNUMBER(D801),ISNUMBER(E801)),D801*E801,"")</f>
        <v/>
      </c>
      <c r="G801" s="31" t="n"/>
      <c r="H801" s="32">
        <f>IF(C801="SELL",F801-SUMIFS($F$2:$F$1000,$B$2:$B$1000,B801,$C$2:$C$1000,"&lt;&gt;SELL",$A$2:$A$1000,"&gt;"&amp;_xlfn.MAXIFS($A$2:$A$1000,$B$2:$B$1000,B801,$C$2:$C$1000,"SELL",$A$2:$A$1000,"&lt;"&amp;A801),$A$2:$A$1000,"&lt;="&amp;A801),"")</f>
        <v/>
      </c>
    </row>
    <row r="802">
      <c r="A802" s="29" t="n"/>
      <c r="B802" s="30" t="n"/>
      <c r="C802" s="30" t="n"/>
      <c r="D802" s="31" t="n"/>
      <c r="E802" s="30" t="n"/>
      <c r="F802" s="32">
        <f>IF(AND(ISNUMBER(D802),ISNUMBER(E802)),D802*E802,"")</f>
        <v/>
      </c>
      <c r="G802" s="31" t="n"/>
      <c r="H802" s="32">
        <f>IF(C802="SELL",F802-SUMIFS($F$2:$F$1000,$B$2:$B$1000,B802,$C$2:$C$1000,"&lt;&gt;SELL",$A$2:$A$1000,"&gt;"&amp;_xlfn.MAXIFS($A$2:$A$1000,$B$2:$B$1000,B802,$C$2:$C$1000,"SELL",$A$2:$A$1000,"&lt;"&amp;A802),$A$2:$A$1000,"&lt;="&amp;A802),"")</f>
        <v/>
      </c>
    </row>
    <row r="803">
      <c r="A803" s="29" t="n"/>
      <c r="B803" s="30" t="n"/>
      <c r="C803" s="30" t="n"/>
      <c r="D803" s="31" t="n"/>
      <c r="E803" s="30" t="n"/>
      <c r="F803" s="32">
        <f>IF(AND(ISNUMBER(D803),ISNUMBER(E803)),D803*E803,"")</f>
        <v/>
      </c>
      <c r="G803" s="31" t="n"/>
      <c r="H803" s="32">
        <f>IF(C803="SELL",F803-SUMIFS($F$2:$F$1000,$B$2:$B$1000,B803,$C$2:$C$1000,"&lt;&gt;SELL",$A$2:$A$1000,"&gt;"&amp;_xlfn.MAXIFS($A$2:$A$1000,$B$2:$B$1000,B803,$C$2:$C$1000,"SELL",$A$2:$A$1000,"&lt;"&amp;A803),$A$2:$A$1000,"&lt;="&amp;A803),"")</f>
        <v/>
      </c>
    </row>
    <row r="804">
      <c r="A804" s="29" t="n"/>
      <c r="B804" s="30" t="n"/>
      <c r="C804" s="30" t="n"/>
      <c r="D804" s="31" t="n"/>
      <c r="E804" s="30" t="n"/>
      <c r="F804" s="32">
        <f>IF(AND(ISNUMBER(D804),ISNUMBER(E804)),D804*E804,"")</f>
        <v/>
      </c>
      <c r="G804" s="31" t="n"/>
      <c r="H804" s="32">
        <f>IF(C804="SELL",F804-SUMIFS($F$2:$F$1000,$B$2:$B$1000,B804,$C$2:$C$1000,"&lt;&gt;SELL",$A$2:$A$1000,"&gt;"&amp;_xlfn.MAXIFS($A$2:$A$1000,$B$2:$B$1000,B804,$C$2:$C$1000,"SELL",$A$2:$A$1000,"&lt;"&amp;A804),$A$2:$A$1000,"&lt;="&amp;A804),"")</f>
        <v/>
      </c>
    </row>
    <row r="805">
      <c r="A805" s="29" t="n"/>
      <c r="B805" s="30" t="n"/>
      <c r="C805" s="30" t="n"/>
      <c r="D805" s="31" t="n"/>
      <c r="E805" s="30" t="n"/>
      <c r="F805" s="32">
        <f>IF(AND(ISNUMBER(D805),ISNUMBER(E805)),D805*E805,"")</f>
        <v/>
      </c>
      <c r="G805" s="31" t="n"/>
      <c r="H805" s="32">
        <f>IF(C805="SELL",F805-SUMIFS($F$2:$F$1000,$B$2:$B$1000,B805,$C$2:$C$1000,"&lt;&gt;SELL",$A$2:$A$1000,"&gt;"&amp;_xlfn.MAXIFS($A$2:$A$1000,$B$2:$B$1000,B805,$C$2:$C$1000,"SELL",$A$2:$A$1000,"&lt;"&amp;A805),$A$2:$A$1000,"&lt;="&amp;A805),"")</f>
        <v/>
      </c>
    </row>
    <row r="806">
      <c r="A806" s="29" t="n"/>
      <c r="B806" s="30" t="n"/>
      <c r="C806" s="30" t="n"/>
      <c r="D806" s="31" t="n"/>
      <c r="E806" s="30" t="n"/>
      <c r="F806" s="32">
        <f>IF(AND(ISNUMBER(D806),ISNUMBER(E806)),D806*E806,"")</f>
        <v/>
      </c>
      <c r="G806" s="31" t="n"/>
      <c r="H806" s="32">
        <f>IF(C806="SELL",F806-SUMIFS($F$2:$F$1000,$B$2:$B$1000,B806,$C$2:$C$1000,"&lt;&gt;SELL",$A$2:$A$1000,"&gt;"&amp;_xlfn.MAXIFS($A$2:$A$1000,$B$2:$B$1000,B806,$C$2:$C$1000,"SELL",$A$2:$A$1000,"&lt;"&amp;A806),$A$2:$A$1000,"&lt;="&amp;A806),"")</f>
        <v/>
      </c>
    </row>
    <row r="807">
      <c r="A807" s="29" t="n"/>
      <c r="B807" s="30" t="n"/>
      <c r="C807" s="30" t="n"/>
      <c r="D807" s="31" t="n"/>
      <c r="E807" s="30" t="n"/>
      <c r="F807" s="32">
        <f>IF(AND(ISNUMBER(D807),ISNUMBER(E807)),D807*E807,"")</f>
        <v/>
      </c>
      <c r="G807" s="31" t="n"/>
      <c r="H807" s="32">
        <f>IF(C807="SELL",F807-SUMIFS($F$2:$F$1000,$B$2:$B$1000,B807,$C$2:$C$1000,"&lt;&gt;SELL",$A$2:$A$1000,"&gt;"&amp;_xlfn.MAXIFS($A$2:$A$1000,$B$2:$B$1000,B807,$C$2:$C$1000,"SELL",$A$2:$A$1000,"&lt;"&amp;A807),$A$2:$A$1000,"&lt;="&amp;A807),"")</f>
        <v/>
      </c>
    </row>
    <row r="808">
      <c r="A808" s="29" t="n"/>
      <c r="B808" s="30" t="n"/>
      <c r="C808" s="30" t="n"/>
      <c r="D808" s="31" t="n"/>
      <c r="E808" s="30" t="n"/>
      <c r="F808" s="32">
        <f>IF(AND(ISNUMBER(D808),ISNUMBER(E808)),D808*E808,"")</f>
        <v/>
      </c>
      <c r="G808" s="31" t="n"/>
      <c r="H808" s="32">
        <f>IF(C808="SELL",F808-SUMIFS($F$2:$F$1000,$B$2:$B$1000,B808,$C$2:$C$1000,"&lt;&gt;SELL",$A$2:$A$1000,"&gt;"&amp;_xlfn.MAXIFS($A$2:$A$1000,$B$2:$B$1000,B808,$C$2:$C$1000,"SELL",$A$2:$A$1000,"&lt;"&amp;A808),$A$2:$A$1000,"&lt;="&amp;A808),"")</f>
        <v/>
      </c>
    </row>
    <row r="809">
      <c r="A809" s="29" t="n"/>
      <c r="B809" s="30" t="n"/>
      <c r="C809" s="30" t="n"/>
      <c r="D809" s="31" t="n"/>
      <c r="E809" s="30" t="n"/>
      <c r="F809" s="32">
        <f>IF(AND(ISNUMBER(D809),ISNUMBER(E809)),D809*E809,"")</f>
        <v/>
      </c>
      <c r="G809" s="31" t="n"/>
      <c r="H809" s="32">
        <f>IF(C809="SELL",F809-SUMIFS($F$2:$F$1000,$B$2:$B$1000,B809,$C$2:$C$1000,"&lt;&gt;SELL",$A$2:$A$1000,"&gt;"&amp;_xlfn.MAXIFS($A$2:$A$1000,$B$2:$B$1000,B809,$C$2:$C$1000,"SELL",$A$2:$A$1000,"&lt;"&amp;A809),$A$2:$A$1000,"&lt;="&amp;A809),"")</f>
        <v/>
      </c>
    </row>
    <row r="810">
      <c r="A810" s="29" t="n"/>
      <c r="B810" s="30" t="n"/>
      <c r="C810" s="30" t="n"/>
      <c r="D810" s="31" t="n"/>
      <c r="E810" s="30" t="n"/>
      <c r="F810" s="32">
        <f>IF(AND(ISNUMBER(D810),ISNUMBER(E810)),D810*E810,"")</f>
        <v/>
      </c>
      <c r="G810" s="31" t="n"/>
      <c r="H810" s="32">
        <f>IF(C810="SELL",F810-SUMIFS($F$2:$F$1000,$B$2:$B$1000,B810,$C$2:$C$1000,"&lt;&gt;SELL",$A$2:$A$1000,"&gt;"&amp;_xlfn.MAXIFS($A$2:$A$1000,$B$2:$B$1000,B810,$C$2:$C$1000,"SELL",$A$2:$A$1000,"&lt;"&amp;A810),$A$2:$A$1000,"&lt;="&amp;A810),"")</f>
        <v/>
      </c>
    </row>
    <row r="811">
      <c r="A811" s="29" t="n"/>
      <c r="B811" s="30" t="n"/>
      <c r="C811" s="30" t="n"/>
      <c r="D811" s="31" t="n"/>
      <c r="E811" s="30" t="n"/>
      <c r="F811" s="32">
        <f>IF(AND(ISNUMBER(D811),ISNUMBER(E811)),D811*E811,"")</f>
        <v/>
      </c>
      <c r="G811" s="31" t="n"/>
      <c r="H811" s="32">
        <f>IF(C811="SELL",F811-SUMIFS($F$2:$F$1000,$B$2:$B$1000,B811,$C$2:$C$1000,"&lt;&gt;SELL",$A$2:$A$1000,"&gt;"&amp;_xlfn.MAXIFS($A$2:$A$1000,$B$2:$B$1000,B811,$C$2:$C$1000,"SELL",$A$2:$A$1000,"&lt;"&amp;A811),$A$2:$A$1000,"&lt;="&amp;A811),"")</f>
        <v/>
      </c>
    </row>
    <row r="812">
      <c r="A812" s="29" t="n"/>
      <c r="B812" s="30" t="n"/>
      <c r="C812" s="30" t="n"/>
      <c r="D812" s="31" t="n"/>
      <c r="E812" s="30" t="n"/>
      <c r="F812" s="32">
        <f>IF(AND(ISNUMBER(D812),ISNUMBER(E812)),D812*E812,"")</f>
        <v/>
      </c>
      <c r="G812" s="31" t="n"/>
      <c r="H812" s="32">
        <f>IF(C812="SELL",F812-SUMIFS($F$2:$F$1000,$B$2:$B$1000,B812,$C$2:$C$1000,"&lt;&gt;SELL",$A$2:$A$1000,"&gt;"&amp;_xlfn.MAXIFS($A$2:$A$1000,$B$2:$B$1000,B812,$C$2:$C$1000,"SELL",$A$2:$A$1000,"&lt;"&amp;A812),$A$2:$A$1000,"&lt;="&amp;A812),"")</f>
        <v/>
      </c>
    </row>
    <row r="813">
      <c r="A813" s="29" t="n"/>
      <c r="B813" s="30" t="n"/>
      <c r="C813" s="30" t="n"/>
      <c r="D813" s="31" t="n"/>
      <c r="E813" s="30" t="n"/>
      <c r="F813" s="32">
        <f>IF(AND(ISNUMBER(D813),ISNUMBER(E813)),D813*E813,"")</f>
        <v/>
      </c>
      <c r="G813" s="31" t="n"/>
      <c r="H813" s="32">
        <f>IF(C813="SELL",F813-SUMIFS($F$2:$F$1000,$B$2:$B$1000,B813,$C$2:$C$1000,"&lt;&gt;SELL",$A$2:$A$1000,"&gt;"&amp;_xlfn.MAXIFS($A$2:$A$1000,$B$2:$B$1000,B813,$C$2:$C$1000,"SELL",$A$2:$A$1000,"&lt;"&amp;A813),$A$2:$A$1000,"&lt;="&amp;A813),"")</f>
        <v/>
      </c>
    </row>
    <row r="814">
      <c r="A814" s="29" t="n"/>
      <c r="B814" s="30" t="n"/>
      <c r="C814" s="30" t="n"/>
      <c r="D814" s="31" t="n"/>
      <c r="E814" s="30" t="n"/>
      <c r="F814" s="32">
        <f>IF(AND(ISNUMBER(D814),ISNUMBER(E814)),D814*E814,"")</f>
        <v/>
      </c>
      <c r="G814" s="31" t="n"/>
      <c r="H814" s="32">
        <f>IF(C814="SELL",F814-SUMIFS($F$2:$F$1000,$B$2:$B$1000,B814,$C$2:$C$1000,"&lt;&gt;SELL",$A$2:$A$1000,"&gt;"&amp;_xlfn.MAXIFS($A$2:$A$1000,$B$2:$B$1000,B814,$C$2:$C$1000,"SELL",$A$2:$A$1000,"&lt;"&amp;A814),$A$2:$A$1000,"&lt;="&amp;A814),"")</f>
        <v/>
      </c>
    </row>
    <row r="815">
      <c r="A815" s="29" t="n"/>
      <c r="B815" s="30" t="n"/>
      <c r="C815" s="30" t="n"/>
      <c r="D815" s="31" t="n"/>
      <c r="E815" s="30" t="n"/>
      <c r="F815" s="32">
        <f>IF(AND(ISNUMBER(D815),ISNUMBER(E815)),D815*E815,"")</f>
        <v/>
      </c>
      <c r="G815" s="31" t="n"/>
      <c r="H815" s="32">
        <f>IF(C815="SELL",F815-SUMIFS($F$2:$F$1000,$B$2:$B$1000,B815,$C$2:$C$1000,"&lt;&gt;SELL",$A$2:$A$1000,"&gt;"&amp;_xlfn.MAXIFS($A$2:$A$1000,$B$2:$B$1000,B815,$C$2:$C$1000,"SELL",$A$2:$A$1000,"&lt;"&amp;A815),$A$2:$A$1000,"&lt;="&amp;A815),"")</f>
        <v/>
      </c>
    </row>
    <row r="816">
      <c r="A816" s="29" t="n"/>
      <c r="B816" s="30" t="n"/>
      <c r="C816" s="30" t="n"/>
      <c r="D816" s="31" t="n"/>
      <c r="E816" s="30" t="n"/>
      <c r="F816" s="32">
        <f>IF(AND(ISNUMBER(D816),ISNUMBER(E816)),D816*E816,"")</f>
        <v/>
      </c>
      <c r="G816" s="31" t="n"/>
      <c r="H816" s="32">
        <f>IF(C816="SELL",F816-SUMIFS($F$2:$F$1000,$B$2:$B$1000,B816,$C$2:$C$1000,"&lt;&gt;SELL",$A$2:$A$1000,"&gt;"&amp;_xlfn.MAXIFS($A$2:$A$1000,$B$2:$B$1000,B816,$C$2:$C$1000,"SELL",$A$2:$A$1000,"&lt;"&amp;A816),$A$2:$A$1000,"&lt;="&amp;A816),"")</f>
        <v/>
      </c>
    </row>
    <row r="817">
      <c r="A817" s="29" t="n"/>
      <c r="B817" s="30" t="n"/>
      <c r="C817" s="30" t="n"/>
      <c r="D817" s="31" t="n"/>
      <c r="E817" s="30" t="n"/>
      <c r="F817" s="32">
        <f>IF(AND(ISNUMBER(D817),ISNUMBER(E817)),D817*E817,"")</f>
        <v/>
      </c>
      <c r="G817" s="31" t="n"/>
      <c r="H817" s="32">
        <f>IF(C817="SELL",F817-SUMIFS($F$2:$F$1000,$B$2:$B$1000,B817,$C$2:$C$1000,"&lt;&gt;SELL",$A$2:$A$1000,"&gt;"&amp;_xlfn.MAXIFS($A$2:$A$1000,$B$2:$B$1000,B817,$C$2:$C$1000,"SELL",$A$2:$A$1000,"&lt;"&amp;A817),$A$2:$A$1000,"&lt;="&amp;A817),"")</f>
        <v/>
      </c>
    </row>
    <row r="818">
      <c r="A818" s="29" t="n"/>
      <c r="B818" s="30" t="n"/>
      <c r="C818" s="30" t="n"/>
      <c r="D818" s="31" t="n"/>
      <c r="E818" s="30" t="n"/>
      <c r="F818" s="32">
        <f>IF(AND(ISNUMBER(D818),ISNUMBER(E818)),D818*E818,"")</f>
        <v/>
      </c>
      <c r="G818" s="31" t="n"/>
      <c r="H818" s="32">
        <f>IF(C818="SELL",F818-SUMIFS($F$2:$F$1000,$B$2:$B$1000,B818,$C$2:$C$1000,"&lt;&gt;SELL",$A$2:$A$1000,"&gt;"&amp;_xlfn.MAXIFS($A$2:$A$1000,$B$2:$B$1000,B818,$C$2:$C$1000,"SELL",$A$2:$A$1000,"&lt;"&amp;A818),$A$2:$A$1000,"&lt;="&amp;A818),"")</f>
        <v/>
      </c>
    </row>
    <row r="819">
      <c r="A819" s="29" t="n"/>
      <c r="B819" s="30" t="n"/>
      <c r="C819" s="30" t="n"/>
      <c r="D819" s="31" t="n"/>
      <c r="E819" s="30" t="n"/>
      <c r="F819" s="32">
        <f>IF(AND(ISNUMBER(D819),ISNUMBER(E819)),D819*E819,"")</f>
        <v/>
      </c>
      <c r="G819" s="31" t="n"/>
      <c r="H819" s="32">
        <f>IF(C819="SELL",F819-SUMIFS($F$2:$F$1000,$B$2:$B$1000,B819,$C$2:$C$1000,"&lt;&gt;SELL",$A$2:$A$1000,"&gt;"&amp;_xlfn.MAXIFS($A$2:$A$1000,$B$2:$B$1000,B819,$C$2:$C$1000,"SELL",$A$2:$A$1000,"&lt;"&amp;A819),$A$2:$A$1000,"&lt;="&amp;A819),"")</f>
        <v/>
      </c>
    </row>
    <row r="820">
      <c r="A820" s="29" t="n"/>
      <c r="B820" s="30" t="n"/>
      <c r="C820" s="30" t="n"/>
      <c r="D820" s="31" t="n"/>
      <c r="E820" s="30" t="n"/>
      <c r="F820" s="32">
        <f>IF(AND(ISNUMBER(D820),ISNUMBER(E820)),D820*E820,"")</f>
        <v/>
      </c>
      <c r="G820" s="31" t="n"/>
      <c r="H820" s="32">
        <f>IF(C820="SELL",F820-SUMIFS($F$2:$F$1000,$B$2:$B$1000,B820,$C$2:$C$1000,"&lt;&gt;SELL",$A$2:$A$1000,"&gt;"&amp;_xlfn.MAXIFS($A$2:$A$1000,$B$2:$B$1000,B820,$C$2:$C$1000,"SELL",$A$2:$A$1000,"&lt;"&amp;A820),$A$2:$A$1000,"&lt;="&amp;A820),"")</f>
        <v/>
      </c>
    </row>
    <row r="821">
      <c r="A821" s="29" t="n"/>
      <c r="B821" s="30" t="n"/>
      <c r="C821" s="30" t="n"/>
      <c r="D821" s="31" t="n"/>
      <c r="E821" s="30" t="n"/>
      <c r="F821" s="32">
        <f>IF(AND(ISNUMBER(D821),ISNUMBER(E821)),D821*E821,"")</f>
        <v/>
      </c>
      <c r="G821" s="31" t="n"/>
      <c r="H821" s="32">
        <f>IF(C821="SELL",F821-SUMIFS($F$2:$F$1000,$B$2:$B$1000,B821,$C$2:$C$1000,"&lt;&gt;SELL",$A$2:$A$1000,"&gt;"&amp;_xlfn.MAXIFS($A$2:$A$1000,$B$2:$B$1000,B821,$C$2:$C$1000,"SELL",$A$2:$A$1000,"&lt;"&amp;A821),$A$2:$A$1000,"&lt;="&amp;A821),"")</f>
        <v/>
      </c>
    </row>
    <row r="822">
      <c r="A822" s="29" t="n"/>
      <c r="B822" s="30" t="n"/>
      <c r="C822" s="30" t="n"/>
      <c r="D822" s="31" t="n"/>
      <c r="E822" s="30" t="n"/>
      <c r="F822" s="32">
        <f>IF(AND(ISNUMBER(D822),ISNUMBER(E822)),D822*E822,"")</f>
        <v/>
      </c>
      <c r="G822" s="31" t="n"/>
      <c r="H822" s="32">
        <f>IF(C822="SELL",F822-SUMIFS($F$2:$F$1000,$B$2:$B$1000,B822,$C$2:$C$1000,"&lt;&gt;SELL",$A$2:$A$1000,"&gt;"&amp;_xlfn.MAXIFS($A$2:$A$1000,$B$2:$B$1000,B822,$C$2:$C$1000,"SELL",$A$2:$A$1000,"&lt;"&amp;A822),$A$2:$A$1000,"&lt;="&amp;A822),"")</f>
        <v/>
      </c>
    </row>
    <row r="823">
      <c r="A823" s="29" t="n"/>
      <c r="B823" s="30" t="n"/>
      <c r="C823" s="30" t="n"/>
      <c r="D823" s="31" t="n"/>
      <c r="E823" s="30" t="n"/>
      <c r="F823" s="32">
        <f>IF(AND(ISNUMBER(D823),ISNUMBER(E823)),D823*E823,"")</f>
        <v/>
      </c>
      <c r="G823" s="31" t="n"/>
      <c r="H823" s="32">
        <f>IF(C823="SELL",F823-SUMIFS($F$2:$F$1000,$B$2:$B$1000,B823,$C$2:$C$1000,"&lt;&gt;SELL",$A$2:$A$1000,"&gt;"&amp;_xlfn.MAXIFS($A$2:$A$1000,$B$2:$B$1000,B823,$C$2:$C$1000,"SELL",$A$2:$A$1000,"&lt;"&amp;A823),$A$2:$A$1000,"&lt;="&amp;A823),"")</f>
        <v/>
      </c>
    </row>
    <row r="824">
      <c r="A824" s="29" t="n"/>
      <c r="B824" s="30" t="n"/>
      <c r="C824" s="30" t="n"/>
      <c r="D824" s="31" t="n"/>
      <c r="E824" s="30" t="n"/>
      <c r="F824" s="32">
        <f>IF(AND(ISNUMBER(D824),ISNUMBER(E824)),D824*E824,"")</f>
        <v/>
      </c>
      <c r="G824" s="31" t="n"/>
      <c r="H824" s="32">
        <f>IF(C824="SELL",F824-SUMIFS($F$2:$F$1000,$B$2:$B$1000,B824,$C$2:$C$1000,"&lt;&gt;SELL",$A$2:$A$1000,"&gt;"&amp;_xlfn.MAXIFS($A$2:$A$1000,$B$2:$B$1000,B824,$C$2:$C$1000,"SELL",$A$2:$A$1000,"&lt;"&amp;A824),$A$2:$A$1000,"&lt;="&amp;A824),"")</f>
        <v/>
      </c>
    </row>
    <row r="825">
      <c r="A825" s="29" t="n"/>
      <c r="B825" s="30" t="n"/>
      <c r="C825" s="30" t="n"/>
      <c r="D825" s="31" t="n"/>
      <c r="E825" s="30" t="n"/>
      <c r="F825" s="32">
        <f>IF(AND(ISNUMBER(D825),ISNUMBER(E825)),D825*E825,"")</f>
        <v/>
      </c>
      <c r="G825" s="31" t="n"/>
      <c r="H825" s="32">
        <f>IF(C825="SELL",F825-SUMIFS($F$2:$F$1000,$B$2:$B$1000,B825,$C$2:$C$1000,"&lt;&gt;SELL",$A$2:$A$1000,"&gt;"&amp;_xlfn.MAXIFS($A$2:$A$1000,$B$2:$B$1000,B825,$C$2:$C$1000,"SELL",$A$2:$A$1000,"&lt;"&amp;A825),$A$2:$A$1000,"&lt;="&amp;A825),"")</f>
        <v/>
      </c>
    </row>
    <row r="826">
      <c r="A826" s="29" t="n"/>
      <c r="B826" s="30" t="n"/>
      <c r="C826" s="30" t="n"/>
      <c r="D826" s="31" t="n"/>
      <c r="E826" s="30" t="n"/>
      <c r="F826" s="32">
        <f>IF(AND(ISNUMBER(D826),ISNUMBER(E826)),D826*E826,"")</f>
        <v/>
      </c>
      <c r="G826" s="31" t="n"/>
      <c r="H826" s="32">
        <f>IF(C826="SELL",F826-SUMIFS($F$2:$F$1000,$B$2:$B$1000,B826,$C$2:$C$1000,"&lt;&gt;SELL",$A$2:$A$1000,"&gt;"&amp;_xlfn.MAXIFS($A$2:$A$1000,$B$2:$B$1000,B826,$C$2:$C$1000,"SELL",$A$2:$A$1000,"&lt;"&amp;A826),$A$2:$A$1000,"&lt;="&amp;A826),"")</f>
        <v/>
      </c>
    </row>
    <row r="827">
      <c r="A827" s="29" t="n"/>
      <c r="B827" s="30" t="n"/>
      <c r="C827" s="30" t="n"/>
      <c r="D827" s="31" t="n"/>
      <c r="E827" s="30" t="n"/>
      <c r="F827" s="32">
        <f>IF(AND(ISNUMBER(D827),ISNUMBER(E827)),D827*E827,"")</f>
        <v/>
      </c>
      <c r="G827" s="31" t="n"/>
      <c r="H827" s="32">
        <f>IF(C827="SELL",F827-SUMIFS($F$2:$F$1000,$B$2:$B$1000,B827,$C$2:$C$1000,"&lt;&gt;SELL",$A$2:$A$1000,"&gt;"&amp;_xlfn.MAXIFS($A$2:$A$1000,$B$2:$B$1000,B827,$C$2:$C$1000,"SELL",$A$2:$A$1000,"&lt;"&amp;A827),$A$2:$A$1000,"&lt;="&amp;A827),"")</f>
        <v/>
      </c>
    </row>
    <row r="828">
      <c r="A828" s="29" t="n"/>
      <c r="B828" s="30" t="n"/>
      <c r="C828" s="30" t="n"/>
      <c r="D828" s="31" t="n"/>
      <c r="E828" s="30" t="n"/>
      <c r="F828" s="32">
        <f>IF(AND(ISNUMBER(D828),ISNUMBER(E828)),D828*E828,"")</f>
        <v/>
      </c>
      <c r="G828" s="31" t="n"/>
      <c r="H828" s="32">
        <f>IF(C828="SELL",F828-SUMIFS($F$2:$F$1000,$B$2:$B$1000,B828,$C$2:$C$1000,"&lt;&gt;SELL",$A$2:$A$1000,"&gt;"&amp;_xlfn.MAXIFS($A$2:$A$1000,$B$2:$B$1000,B828,$C$2:$C$1000,"SELL",$A$2:$A$1000,"&lt;"&amp;A828),$A$2:$A$1000,"&lt;="&amp;A828),"")</f>
        <v/>
      </c>
    </row>
    <row r="829">
      <c r="A829" s="29" t="n"/>
      <c r="B829" s="30" t="n"/>
      <c r="C829" s="30" t="n"/>
      <c r="D829" s="31" t="n"/>
      <c r="E829" s="30" t="n"/>
      <c r="F829" s="32">
        <f>IF(AND(ISNUMBER(D829),ISNUMBER(E829)),D829*E829,"")</f>
        <v/>
      </c>
      <c r="G829" s="31" t="n"/>
      <c r="H829" s="32">
        <f>IF(C829="SELL",F829-SUMIFS($F$2:$F$1000,$B$2:$B$1000,B829,$C$2:$C$1000,"&lt;&gt;SELL",$A$2:$A$1000,"&gt;"&amp;_xlfn.MAXIFS($A$2:$A$1000,$B$2:$B$1000,B829,$C$2:$C$1000,"SELL",$A$2:$A$1000,"&lt;"&amp;A829),$A$2:$A$1000,"&lt;="&amp;A829),"")</f>
        <v/>
      </c>
    </row>
    <row r="830">
      <c r="A830" s="29" t="n"/>
      <c r="B830" s="30" t="n"/>
      <c r="C830" s="30" t="n"/>
      <c r="D830" s="31" t="n"/>
      <c r="E830" s="30" t="n"/>
      <c r="F830" s="32">
        <f>IF(AND(ISNUMBER(D830),ISNUMBER(E830)),D830*E830,"")</f>
        <v/>
      </c>
      <c r="G830" s="31" t="n"/>
      <c r="H830" s="32">
        <f>IF(C830="SELL",F830-SUMIFS($F$2:$F$1000,$B$2:$B$1000,B830,$C$2:$C$1000,"&lt;&gt;SELL",$A$2:$A$1000,"&gt;"&amp;_xlfn.MAXIFS($A$2:$A$1000,$B$2:$B$1000,B830,$C$2:$C$1000,"SELL",$A$2:$A$1000,"&lt;"&amp;A830),$A$2:$A$1000,"&lt;="&amp;A830),"")</f>
        <v/>
      </c>
    </row>
    <row r="831">
      <c r="A831" s="29" t="n"/>
      <c r="B831" s="30" t="n"/>
      <c r="C831" s="30" t="n"/>
      <c r="D831" s="31" t="n"/>
      <c r="E831" s="30" t="n"/>
      <c r="F831" s="32">
        <f>IF(AND(ISNUMBER(D831),ISNUMBER(E831)),D831*E831,"")</f>
        <v/>
      </c>
      <c r="G831" s="31" t="n"/>
      <c r="H831" s="32">
        <f>IF(C831="SELL",F831-SUMIFS($F$2:$F$1000,$B$2:$B$1000,B831,$C$2:$C$1000,"&lt;&gt;SELL",$A$2:$A$1000,"&gt;"&amp;_xlfn.MAXIFS($A$2:$A$1000,$B$2:$B$1000,B831,$C$2:$C$1000,"SELL",$A$2:$A$1000,"&lt;"&amp;A831),$A$2:$A$1000,"&lt;="&amp;A831),"")</f>
        <v/>
      </c>
    </row>
    <row r="832">
      <c r="A832" s="29" t="n"/>
      <c r="B832" s="30" t="n"/>
      <c r="C832" s="30" t="n"/>
      <c r="D832" s="31" t="n"/>
      <c r="E832" s="30" t="n"/>
      <c r="F832" s="32">
        <f>IF(AND(ISNUMBER(D832),ISNUMBER(E832)),D832*E832,"")</f>
        <v/>
      </c>
      <c r="G832" s="31" t="n"/>
      <c r="H832" s="32">
        <f>IF(C832="SELL",F832-SUMIFS($F$2:$F$1000,$B$2:$B$1000,B832,$C$2:$C$1000,"&lt;&gt;SELL",$A$2:$A$1000,"&gt;"&amp;_xlfn.MAXIFS($A$2:$A$1000,$B$2:$B$1000,B832,$C$2:$C$1000,"SELL",$A$2:$A$1000,"&lt;"&amp;A832),$A$2:$A$1000,"&lt;="&amp;A832),"")</f>
        <v/>
      </c>
    </row>
    <row r="833">
      <c r="A833" s="29" t="n"/>
      <c r="B833" s="30" t="n"/>
      <c r="C833" s="30" t="n"/>
      <c r="D833" s="31" t="n"/>
      <c r="E833" s="30" t="n"/>
      <c r="F833" s="32">
        <f>IF(AND(ISNUMBER(D833),ISNUMBER(E833)),D833*E833,"")</f>
        <v/>
      </c>
      <c r="G833" s="31" t="n"/>
      <c r="H833" s="32">
        <f>IF(C833="SELL",F833-SUMIFS($F$2:$F$1000,$B$2:$B$1000,B833,$C$2:$C$1000,"&lt;&gt;SELL",$A$2:$A$1000,"&gt;"&amp;_xlfn.MAXIFS($A$2:$A$1000,$B$2:$B$1000,B833,$C$2:$C$1000,"SELL",$A$2:$A$1000,"&lt;"&amp;A833),$A$2:$A$1000,"&lt;="&amp;A833),"")</f>
        <v/>
      </c>
    </row>
    <row r="834">
      <c r="A834" s="29" t="n"/>
      <c r="B834" s="30" t="n"/>
      <c r="C834" s="30" t="n"/>
      <c r="D834" s="31" t="n"/>
      <c r="E834" s="30" t="n"/>
      <c r="F834" s="32">
        <f>IF(AND(ISNUMBER(D834),ISNUMBER(E834)),D834*E834,"")</f>
        <v/>
      </c>
      <c r="G834" s="31" t="n"/>
      <c r="H834" s="32">
        <f>IF(C834="SELL",F834-SUMIFS($F$2:$F$1000,$B$2:$B$1000,B834,$C$2:$C$1000,"&lt;&gt;SELL",$A$2:$A$1000,"&gt;"&amp;_xlfn.MAXIFS($A$2:$A$1000,$B$2:$B$1000,B834,$C$2:$C$1000,"SELL",$A$2:$A$1000,"&lt;"&amp;A834),$A$2:$A$1000,"&lt;="&amp;A834),"")</f>
        <v/>
      </c>
    </row>
    <row r="835">
      <c r="A835" s="29" t="n"/>
      <c r="B835" s="30" t="n"/>
      <c r="C835" s="30" t="n"/>
      <c r="D835" s="31" t="n"/>
      <c r="E835" s="30" t="n"/>
      <c r="F835" s="32">
        <f>IF(AND(ISNUMBER(D835),ISNUMBER(E835)),D835*E835,"")</f>
        <v/>
      </c>
      <c r="G835" s="31" t="n"/>
      <c r="H835" s="32">
        <f>IF(C835="SELL",F835-SUMIFS($F$2:$F$1000,$B$2:$B$1000,B835,$C$2:$C$1000,"&lt;&gt;SELL",$A$2:$A$1000,"&gt;"&amp;_xlfn.MAXIFS($A$2:$A$1000,$B$2:$B$1000,B835,$C$2:$C$1000,"SELL",$A$2:$A$1000,"&lt;"&amp;A835),$A$2:$A$1000,"&lt;="&amp;A835),"")</f>
        <v/>
      </c>
    </row>
    <row r="836">
      <c r="A836" s="29" t="n"/>
      <c r="B836" s="30" t="n"/>
      <c r="C836" s="30" t="n"/>
      <c r="D836" s="31" t="n"/>
      <c r="E836" s="30" t="n"/>
      <c r="F836" s="32">
        <f>IF(AND(ISNUMBER(D836),ISNUMBER(E836)),D836*E836,"")</f>
        <v/>
      </c>
      <c r="G836" s="31" t="n"/>
      <c r="H836" s="32">
        <f>IF(C836="SELL",F836-SUMIFS($F$2:$F$1000,$B$2:$B$1000,B836,$C$2:$C$1000,"&lt;&gt;SELL",$A$2:$A$1000,"&gt;"&amp;_xlfn.MAXIFS($A$2:$A$1000,$B$2:$B$1000,B836,$C$2:$C$1000,"SELL",$A$2:$A$1000,"&lt;"&amp;A836),$A$2:$A$1000,"&lt;="&amp;A836),"")</f>
        <v/>
      </c>
    </row>
    <row r="837">
      <c r="A837" s="29" t="n"/>
      <c r="B837" s="30" t="n"/>
      <c r="C837" s="30" t="n"/>
      <c r="D837" s="31" t="n"/>
      <c r="E837" s="30" t="n"/>
      <c r="F837" s="32">
        <f>IF(AND(ISNUMBER(D837),ISNUMBER(E837)),D837*E837,"")</f>
        <v/>
      </c>
      <c r="G837" s="31" t="n"/>
      <c r="H837" s="32">
        <f>IF(C837="SELL",F837-SUMIFS($F$2:$F$1000,$B$2:$B$1000,B837,$C$2:$C$1000,"&lt;&gt;SELL",$A$2:$A$1000,"&gt;"&amp;_xlfn.MAXIFS($A$2:$A$1000,$B$2:$B$1000,B837,$C$2:$C$1000,"SELL",$A$2:$A$1000,"&lt;"&amp;A837),$A$2:$A$1000,"&lt;="&amp;A837),"")</f>
        <v/>
      </c>
    </row>
    <row r="838">
      <c r="A838" s="29" t="n"/>
      <c r="B838" s="30" t="n"/>
      <c r="C838" s="30" t="n"/>
      <c r="D838" s="31" t="n"/>
      <c r="E838" s="30" t="n"/>
      <c r="F838" s="32">
        <f>IF(AND(ISNUMBER(D838),ISNUMBER(E838)),D838*E838,"")</f>
        <v/>
      </c>
      <c r="G838" s="31" t="n"/>
      <c r="H838" s="32">
        <f>IF(C838="SELL",F838-SUMIFS($F$2:$F$1000,$B$2:$B$1000,B838,$C$2:$C$1000,"&lt;&gt;SELL",$A$2:$A$1000,"&gt;"&amp;_xlfn.MAXIFS($A$2:$A$1000,$B$2:$B$1000,B838,$C$2:$C$1000,"SELL",$A$2:$A$1000,"&lt;"&amp;A838),$A$2:$A$1000,"&lt;="&amp;A838),"")</f>
        <v/>
      </c>
    </row>
    <row r="839">
      <c r="A839" s="29" t="n"/>
      <c r="B839" s="30" t="n"/>
      <c r="C839" s="30" t="n"/>
      <c r="D839" s="31" t="n"/>
      <c r="E839" s="30" t="n"/>
      <c r="F839" s="32">
        <f>IF(AND(ISNUMBER(D839),ISNUMBER(E839)),D839*E839,"")</f>
        <v/>
      </c>
      <c r="G839" s="31" t="n"/>
      <c r="H839" s="32">
        <f>IF(C839="SELL",F839-SUMIFS($F$2:$F$1000,$B$2:$B$1000,B839,$C$2:$C$1000,"&lt;&gt;SELL",$A$2:$A$1000,"&gt;"&amp;_xlfn.MAXIFS($A$2:$A$1000,$B$2:$B$1000,B839,$C$2:$C$1000,"SELL",$A$2:$A$1000,"&lt;"&amp;A839),$A$2:$A$1000,"&lt;="&amp;A839),"")</f>
        <v/>
      </c>
    </row>
    <row r="840">
      <c r="A840" s="29" t="n"/>
      <c r="B840" s="30" t="n"/>
      <c r="C840" s="30" t="n"/>
      <c r="D840" s="31" t="n"/>
      <c r="E840" s="30" t="n"/>
      <c r="F840" s="32">
        <f>IF(AND(ISNUMBER(D840),ISNUMBER(E840)),D840*E840,"")</f>
        <v/>
      </c>
      <c r="G840" s="31" t="n"/>
      <c r="H840" s="32">
        <f>IF(C840="SELL",F840-SUMIFS($F$2:$F$1000,$B$2:$B$1000,B840,$C$2:$C$1000,"&lt;&gt;SELL",$A$2:$A$1000,"&gt;"&amp;_xlfn.MAXIFS($A$2:$A$1000,$B$2:$B$1000,B840,$C$2:$C$1000,"SELL",$A$2:$A$1000,"&lt;"&amp;A840),$A$2:$A$1000,"&lt;="&amp;A840),"")</f>
        <v/>
      </c>
    </row>
    <row r="841">
      <c r="A841" s="29" t="n"/>
      <c r="B841" s="30" t="n"/>
      <c r="C841" s="30" t="n"/>
      <c r="D841" s="31" t="n"/>
      <c r="E841" s="30" t="n"/>
      <c r="F841" s="32">
        <f>IF(AND(ISNUMBER(D841),ISNUMBER(E841)),D841*E841,"")</f>
        <v/>
      </c>
      <c r="G841" s="31" t="n"/>
      <c r="H841" s="32">
        <f>IF(C841="SELL",F841-SUMIFS($F$2:$F$1000,$B$2:$B$1000,B841,$C$2:$C$1000,"&lt;&gt;SELL",$A$2:$A$1000,"&gt;"&amp;_xlfn.MAXIFS($A$2:$A$1000,$B$2:$B$1000,B841,$C$2:$C$1000,"SELL",$A$2:$A$1000,"&lt;"&amp;A841),$A$2:$A$1000,"&lt;="&amp;A841),"")</f>
        <v/>
      </c>
    </row>
    <row r="842">
      <c r="A842" s="29" t="n"/>
      <c r="B842" s="30" t="n"/>
      <c r="C842" s="30" t="n"/>
      <c r="D842" s="31" t="n"/>
      <c r="E842" s="30" t="n"/>
      <c r="F842" s="32">
        <f>IF(AND(ISNUMBER(D842),ISNUMBER(E842)),D842*E842,"")</f>
        <v/>
      </c>
      <c r="G842" s="31" t="n"/>
      <c r="H842" s="32">
        <f>IF(C842="SELL",F842-SUMIFS($F$2:$F$1000,$B$2:$B$1000,B842,$C$2:$C$1000,"&lt;&gt;SELL",$A$2:$A$1000,"&gt;"&amp;_xlfn.MAXIFS($A$2:$A$1000,$B$2:$B$1000,B842,$C$2:$C$1000,"SELL",$A$2:$A$1000,"&lt;"&amp;A842),$A$2:$A$1000,"&lt;="&amp;A842),"")</f>
        <v/>
      </c>
    </row>
    <row r="843">
      <c r="A843" s="29" t="n"/>
      <c r="B843" s="30" t="n"/>
      <c r="C843" s="30" t="n"/>
      <c r="D843" s="31" t="n"/>
      <c r="E843" s="30" t="n"/>
      <c r="F843" s="32">
        <f>IF(AND(ISNUMBER(D843),ISNUMBER(E843)),D843*E843,"")</f>
        <v/>
      </c>
      <c r="G843" s="31" t="n"/>
      <c r="H843" s="32">
        <f>IF(C843="SELL",F843-SUMIFS($F$2:$F$1000,$B$2:$B$1000,B843,$C$2:$C$1000,"&lt;&gt;SELL",$A$2:$A$1000,"&gt;"&amp;_xlfn.MAXIFS($A$2:$A$1000,$B$2:$B$1000,B843,$C$2:$C$1000,"SELL",$A$2:$A$1000,"&lt;"&amp;A843),$A$2:$A$1000,"&lt;="&amp;A843),"")</f>
        <v/>
      </c>
    </row>
    <row r="844">
      <c r="A844" s="29" t="n"/>
      <c r="B844" s="30" t="n"/>
      <c r="C844" s="30" t="n"/>
      <c r="D844" s="31" t="n"/>
      <c r="E844" s="30" t="n"/>
      <c r="F844" s="32">
        <f>IF(AND(ISNUMBER(D844),ISNUMBER(E844)),D844*E844,"")</f>
        <v/>
      </c>
      <c r="G844" s="31" t="n"/>
      <c r="H844" s="32">
        <f>IF(C844="SELL",F844-SUMIFS($F$2:$F$1000,$B$2:$B$1000,B844,$C$2:$C$1000,"&lt;&gt;SELL",$A$2:$A$1000,"&gt;"&amp;_xlfn.MAXIFS($A$2:$A$1000,$B$2:$B$1000,B844,$C$2:$C$1000,"SELL",$A$2:$A$1000,"&lt;"&amp;A844),$A$2:$A$1000,"&lt;="&amp;A844),"")</f>
        <v/>
      </c>
    </row>
    <row r="845">
      <c r="A845" s="29" t="n"/>
      <c r="B845" s="30" t="n"/>
      <c r="C845" s="30" t="n"/>
      <c r="D845" s="31" t="n"/>
      <c r="E845" s="30" t="n"/>
      <c r="F845" s="32">
        <f>IF(AND(ISNUMBER(D845),ISNUMBER(E845)),D845*E845,"")</f>
        <v/>
      </c>
      <c r="G845" s="31" t="n"/>
      <c r="H845" s="32">
        <f>IF(C845="SELL",F845-SUMIFS($F$2:$F$1000,$B$2:$B$1000,B845,$C$2:$C$1000,"&lt;&gt;SELL",$A$2:$A$1000,"&gt;"&amp;_xlfn.MAXIFS($A$2:$A$1000,$B$2:$B$1000,B845,$C$2:$C$1000,"SELL",$A$2:$A$1000,"&lt;"&amp;A845),$A$2:$A$1000,"&lt;="&amp;A845),"")</f>
        <v/>
      </c>
    </row>
    <row r="846">
      <c r="A846" s="29" t="n"/>
      <c r="B846" s="30" t="n"/>
      <c r="C846" s="30" t="n"/>
      <c r="D846" s="31" t="n"/>
      <c r="E846" s="30" t="n"/>
      <c r="F846" s="32">
        <f>IF(AND(ISNUMBER(D846),ISNUMBER(E846)),D846*E846,"")</f>
        <v/>
      </c>
      <c r="G846" s="31" t="n"/>
      <c r="H846" s="32">
        <f>IF(C846="SELL",F846-SUMIFS($F$2:$F$1000,$B$2:$B$1000,B846,$C$2:$C$1000,"&lt;&gt;SELL",$A$2:$A$1000,"&gt;"&amp;_xlfn.MAXIFS($A$2:$A$1000,$B$2:$B$1000,B846,$C$2:$C$1000,"SELL",$A$2:$A$1000,"&lt;"&amp;A846),$A$2:$A$1000,"&lt;="&amp;A846),"")</f>
        <v/>
      </c>
    </row>
    <row r="847">
      <c r="A847" s="29" t="n"/>
      <c r="B847" s="30" t="n"/>
      <c r="C847" s="30" t="n"/>
      <c r="D847" s="31" t="n"/>
      <c r="E847" s="30" t="n"/>
      <c r="F847" s="32">
        <f>IF(AND(ISNUMBER(D847),ISNUMBER(E847)),D847*E847,"")</f>
        <v/>
      </c>
      <c r="G847" s="31" t="n"/>
      <c r="H847" s="32">
        <f>IF(C847="SELL",F847-SUMIFS($F$2:$F$1000,$B$2:$B$1000,B847,$C$2:$C$1000,"&lt;&gt;SELL",$A$2:$A$1000,"&gt;"&amp;_xlfn.MAXIFS($A$2:$A$1000,$B$2:$B$1000,B847,$C$2:$C$1000,"SELL",$A$2:$A$1000,"&lt;"&amp;A847),$A$2:$A$1000,"&lt;="&amp;A847),"")</f>
        <v/>
      </c>
    </row>
    <row r="848">
      <c r="A848" s="29" t="n"/>
      <c r="B848" s="30" t="n"/>
      <c r="C848" s="30" t="n"/>
      <c r="D848" s="31" t="n"/>
      <c r="E848" s="30" t="n"/>
      <c r="F848" s="32">
        <f>IF(AND(ISNUMBER(D848),ISNUMBER(E848)),D848*E848,"")</f>
        <v/>
      </c>
      <c r="G848" s="31" t="n"/>
      <c r="H848" s="32">
        <f>IF(C848="SELL",F848-SUMIFS($F$2:$F$1000,$B$2:$B$1000,B848,$C$2:$C$1000,"&lt;&gt;SELL",$A$2:$A$1000,"&gt;"&amp;_xlfn.MAXIFS($A$2:$A$1000,$B$2:$B$1000,B848,$C$2:$C$1000,"SELL",$A$2:$A$1000,"&lt;"&amp;A848),$A$2:$A$1000,"&lt;="&amp;A848),"")</f>
        <v/>
      </c>
    </row>
    <row r="849">
      <c r="A849" s="29" t="n"/>
      <c r="B849" s="30" t="n"/>
      <c r="C849" s="30" t="n"/>
      <c r="D849" s="31" t="n"/>
      <c r="E849" s="30" t="n"/>
      <c r="F849" s="32">
        <f>IF(AND(ISNUMBER(D849),ISNUMBER(E849)),D849*E849,"")</f>
        <v/>
      </c>
      <c r="G849" s="31" t="n"/>
      <c r="H849" s="32">
        <f>IF(C849="SELL",F849-SUMIFS($F$2:$F$1000,$B$2:$B$1000,B849,$C$2:$C$1000,"&lt;&gt;SELL",$A$2:$A$1000,"&gt;"&amp;_xlfn.MAXIFS($A$2:$A$1000,$B$2:$B$1000,B849,$C$2:$C$1000,"SELL",$A$2:$A$1000,"&lt;"&amp;A849),$A$2:$A$1000,"&lt;="&amp;A849),"")</f>
        <v/>
      </c>
    </row>
    <row r="850">
      <c r="A850" s="29" t="n"/>
      <c r="B850" s="30" t="n"/>
      <c r="C850" s="30" t="n"/>
      <c r="D850" s="31" t="n"/>
      <c r="E850" s="30" t="n"/>
      <c r="F850" s="32">
        <f>IF(AND(ISNUMBER(D850),ISNUMBER(E850)),D850*E850,"")</f>
        <v/>
      </c>
      <c r="G850" s="31" t="n"/>
      <c r="H850" s="32">
        <f>IF(C850="SELL",F850-SUMIFS($F$2:$F$1000,$B$2:$B$1000,B850,$C$2:$C$1000,"&lt;&gt;SELL",$A$2:$A$1000,"&gt;"&amp;_xlfn.MAXIFS($A$2:$A$1000,$B$2:$B$1000,B850,$C$2:$C$1000,"SELL",$A$2:$A$1000,"&lt;"&amp;A850),$A$2:$A$1000,"&lt;="&amp;A850),"")</f>
        <v/>
      </c>
    </row>
    <row r="851">
      <c r="A851" s="29" t="n"/>
      <c r="B851" s="30" t="n"/>
      <c r="C851" s="30" t="n"/>
      <c r="D851" s="31" t="n"/>
      <c r="E851" s="30" t="n"/>
      <c r="F851" s="32">
        <f>IF(AND(ISNUMBER(D851),ISNUMBER(E851)),D851*E851,"")</f>
        <v/>
      </c>
      <c r="G851" s="31" t="n"/>
      <c r="H851" s="32">
        <f>IF(C851="SELL",F851-SUMIFS($F$2:$F$1000,$B$2:$B$1000,B851,$C$2:$C$1000,"&lt;&gt;SELL",$A$2:$A$1000,"&gt;"&amp;_xlfn.MAXIFS($A$2:$A$1000,$B$2:$B$1000,B851,$C$2:$C$1000,"SELL",$A$2:$A$1000,"&lt;"&amp;A851),$A$2:$A$1000,"&lt;="&amp;A851),"")</f>
        <v/>
      </c>
    </row>
    <row r="852">
      <c r="A852" s="29" t="n"/>
      <c r="B852" s="30" t="n"/>
      <c r="C852" s="30" t="n"/>
      <c r="D852" s="31" t="n"/>
      <c r="E852" s="30" t="n"/>
      <c r="F852" s="32">
        <f>IF(AND(ISNUMBER(D852),ISNUMBER(E852)),D852*E852,"")</f>
        <v/>
      </c>
      <c r="G852" s="31" t="n"/>
      <c r="H852" s="32">
        <f>IF(C852="SELL",F852-SUMIFS($F$2:$F$1000,$B$2:$B$1000,B852,$C$2:$C$1000,"&lt;&gt;SELL",$A$2:$A$1000,"&gt;"&amp;_xlfn.MAXIFS($A$2:$A$1000,$B$2:$B$1000,B852,$C$2:$C$1000,"SELL",$A$2:$A$1000,"&lt;"&amp;A852),$A$2:$A$1000,"&lt;="&amp;A852),"")</f>
        <v/>
      </c>
    </row>
    <row r="853">
      <c r="A853" s="29" t="n"/>
      <c r="B853" s="30" t="n"/>
      <c r="C853" s="30" t="n"/>
      <c r="D853" s="31" t="n"/>
      <c r="E853" s="30" t="n"/>
      <c r="F853" s="32">
        <f>IF(AND(ISNUMBER(D853),ISNUMBER(E853)),D853*E853,"")</f>
        <v/>
      </c>
      <c r="G853" s="31" t="n"/>
      <c r="H853" s="32">
        <f>IF(C853="SELL",F853-SUMIFS($F$2:$F$1000,$B$2:$B$1000,B853,$C$2:$C$1000,"&lt;&gt;SELL",$A$2:$A$1000,"&gt;"&amp;_xlfn.MAXIFS($A$2:$A$1000,$B$2:$B$1000,B853,$C$2:$C$1000,"SELL",$A$2:$A$1000,"&lt;"&amp;A853),$A$2:$A$1000,"&lt;="&amp;A853),"")</f>
        <v/>
      </c>
    </row>
    <row r="854">
      <c r="A854" s="29" t="n"/>
      <c r="B854" s="30" t="n"/>
      <c r="C854" s="30" t="n"/>
      <c r="D854" s="31" t="n"/>
      <c r="E854" s="30" t="n"/>
      <c r="F854" s="32">
        <f>IF(AND(ISNUMBER(D854),ISNUMBER(E854)),D854*E854,"")</f>
        <v/>
      </c>
      <c r="G854" s="31" t="n"/>
      <c r="H854" s="32">
        <f>IF(C854="SELL",F854-SUMIFS($F$2:$F$1000,$B$2:$B$1000,B854,$C$2:$C$1000,"&lt;&gt;SELL",$A$2:$A$1000,"&gt;"&amp;_xlfn.MAXIFS($A$2:$A$1000,$B$2:$B$1000,B854,$C$2:$C$1000,"SELL",$A$2:$A$1000,"&lt;"&amp;A854),$A$2:$A$1000,"&lt;="&amp;A854),"")</f>
        <v/>
      </c>
    </row>
    <row r="855">
      <c r="A855" s="29" t="n"/>
      <c r="B855" s="30" t="n"/>
      <c r="C855" s="30" t="n"/>
      <c r="D855" s="31" t="n"/>
      <c r="E855" s="30" t="n"/>
      <c r="F855" s="32">
        <f>IF(AND(ISNUMBER(D855),ISNUMBER(E855)),D855*E855,"")</f>
        <v/>
      </c>
      <c r="G855" s="31" t="n"/>
      <c r="H855" s="32">
        <f>IF(C855="SELL",F855-SUMIFS($F$2:$F$1000,$B$2:$B$1000,B855,$C$2:$C$1000,"&lt;&gt;SELL",$A$2:$A$1000,"&gt;"&amp;_xlfn.MAXIFS($A$2:$A$1000,$B$2:$B$1000,B855,$C$2:$C$1000,"SELL",$A$2:$A$1000,"&lt;"&amp;A855),$A$2:$A$1000,"&lt;="&amp;A855),"")</f>
        <v/>
      </c>
    </row>
    <row r="856">
      <c r="A856" s="29" t="n"/>
      <c r="B856" s="30" t="n"/>
      <c r="C856" s="30" t="n"/>
      <c r="D856" s="31" t="n"/>
      <c r="E856" s="30" t="n"/>
      <c r="F856" s="32">
        <f>IF(AND(ISNUMBER(D856),ISNUMBER(E856)),D856*E856,"")</f>
        <v/>
      </c>
      <c r="G856" s="31" t="n"/>
      <c r="H856" s="32">
        <f>IF(C856="SELL",F856-SUMIFS($F$2:$F$1000,$B$2:$B$1000,B856,$C$2:$C$1000,"&lt;&gt;SELL",$A$2:$A$1000,"&gt;"&amp;_xlfn.MAXIFS($A$2:$A$1000,$B$2:$B$1000,B856,$C$2:$C$1000,"SELL",$A$2:$A$1000,"&lt;"&amp;A856),$A$2:$A$1000,"&lt;="&amp;A856),"")</f>
        <v/>
      </c>
    </row>
    <row r="857">
      <c r="A857" s="29" t="n"/>
      <c r="B857" s="30" t="n"/>
      <c r="C857" s="30" t="n"/>
      <c r="D857" s="31" t="n"/>
      <c r="E857" s="30" t="n"/>
      <c r="F857" s="32">
        <f>IF(AND(ISNUMBER(D857),ISNUMBER(E857)),D857*E857,"")</f>
        <v/>
      </c>
      <c r="G857" s="31" t="n"/>
      <c r="H857" s="32">
        <f>IF(C857="SELL",F857-SUMIFS($F$2:$F$1000,$B$2:$B$1000,B857,$C$2:$C$1000,"&lt;&gt;SELL",$A$2:$A$1000,"&gt;"&amp;_xlfn.MAXIFS($A$2:$A$1000,$B$2:$B$1000,B857,$C$2:$C$1000,"SELL",$A$2:$A$1000,"&lt;"&amp;A857),$A$2:$A$1000,"&lt;="&amp;A857),"")</f>
        <v/>
      </c>
    </row>
    <row r="858">
      <c r="A858" s="29" t="n"/>
      <c r="B858" s="30" t="n"/>
      <c r="C858" s="30" t="n"/>
      <c r="D858" s="31" t="n"/>
      <c r="E858" s="30" t="n"/>
      <c r="F858" s="32">
        <f>IF(AND(ISNUMBER(D858),ISNUMBER(E858)),D858*E858,"")</f>
        <v/>
      </c>
      <c r="G858" s="31" t="n"/>
      <c r="H858" s="32">
        <f>IF(C858="SELL",F858-SUMIFS($F$2:$F$1000,$B$2:$B$1000,B858,$C$2:$C$1000,"&lt;&gt;SELL",$A$2:$A$1000,"&gt;"&amp;_xlfn.MAXIFS($A$2:$A$1000,$B$2:$B$1000,B858,$C$2:$C$1000,"SELL",$A$2:$A$1000,"&lt;"&amp;A858),$A$2:$A$1000,"&lt;="&amp;A858),"")</f>
        <v/>
      </c>
    </row>
    <row r="859">
      <c r="A859" s="29" t="n"/>
      <c r="B859" s="30" t="n"/>
      <c r="C859" s="30" t="n"/>
      <c r="D859" s="31" t="n"/>
      <c r="E859" s="30" t="n"/>
      <c r="F859" s="32">
        <f>IF(AND(ISNUMBER(D859),ISNUMBER(E859)),D859*E859,"")</f>
        <v/>
      </c>
      <c r="G859" s="31" t="n"/>
      <c r="H859" s="32">
        <f>IF(C859="SELL",F859-SUMIFS($F$2:$F$1000,$B$2:$B$1000,B859,$C$2:$C$1000,"&lt;&gt;SELL",$A$2:$A$1000,"&gt;"&amp;_xlfn.MAXIFS($A$2:$A$1000,$B$2:$B$1000,B859,$C$2:$C$1000,"SELL",$A$2:$A$1000,"&lt;"&amp;A859),$A$2:$A$1000,"&lt;="&amp;A859),"")</f>
        <v/>
      </c>
    </row>
    <row r="860">
      <c r="A860" s="29" t="n"/>
      <c r="B860" s="30" t="n"/>
      <c r="C860" s="30" t="n"/>
      <c r="D860" s="31" t="n"/>
      <c r="E860" s="30" t="n"/>
      <c r="F860" s="32">
        <f>IF(AND(ISNUMBER(D860),ISNUMBER(E860)),D860*E860,"")</f>
        <v/>
      </c>
      <c r="G860" s="31" t="n"/>
      <c r="H860" s="32">
        <f>IF(C860="SELL",F860-SUMIFS($F$2:$F$1000,$B$2:$B$1000,B860,$C$2:$C$1000,"&lt;&gt;SELL",$A$2:$A$1000,"&gt;"&amp;_xlfn.MAXIFS($A$2:$A$1000,$B$2:$B$1000,B860,$C$2:$C$1000,"SELL",$A$2:$A$1000,"&lt;"&amp;A860),$A$2:$A$1000,"&lt;="&amp;A860),"")</f>
        <v/>
      </c>
    </row>
    <row r="861">
      <c r="A861" s="29" t="n"/>
      <c r="B861" s="30" t="n"/>
      <c r="C861" s="30" t="n"/>
      <c r="D861" s="31" t="n"/>
      <c r="E861" s="30" t="n"/>
      <c r="F861" s="32">
        <f>IF(AND(ISNUMBER(D861),ISNUMBER(E861)),D861*E861,"")</f>
        <v/>
      </c>
      <c r="G861" s="31" t="n"/>
      <c r="H861" s="32">
        <f>IF(C861="SELL",F861-SUMIFS($F$2:$F$1000,$B$2:$B$1000,B861,$C$2:$C$1000,"&lt;&gt;SELL",$A$2:$A$1000,"&gt;"&amp;_xlfn.MAXIFS($A$2:$A$1000,$B$2:$B$1000,B861,$C$2:$C$1000,"SELL",$A$2:$A$1000,"&lt;"&amp;A861),$A$2:$A$1000,"&lt;="&amp;A861),"")</f>
        <v/>
      </c>
    </row>
    <row r="862">
      <c r="A862" s="29" t="n"/>
      <c r="B862" s="30" t="n"/>
      <c r="C862" s="30" t="n"/>
      <c r="D862" s="31" t="n"/>
      <c r="E862" s="30" t="n"/>
      <c r="F862" s="32">
        <f>IF(AND(ISNUMBER(D862),ISNUMBER(E862)),D862*E862,"")</f>
        <v/>
      </c>
      <c r="G862" s="31" t="n"/>
      <c r="H862" s="32">
        <f>IF(C862="SELL",F862-SUMIFS($F$2:$F$1000,$B$2:$B$1000,B862,$C$2:$C$1000,"&lt;&gt;SELL",$A$2:$A$1000,"&gt;"&amp;_xlfn.MAXIFS($A$2:$A$1000,$B$2:$B$1000,B862,$C$2:$C$1000,"SELL",$A$2:$A$1000,"&lt;"&amp;A862),$A$2:$A$1000,"&lt;="&amp;A862),"")</f>
        <v/>
      </c>
    </row>
    <row r="863">
      <c r="A863" s="29" t="n"/>
      <c r="B863" s="30" t="n"/>
      <c r="C863" s="30" t="n"/>
      <c r="D863" s="31" t="n"/>
      <c r="E863" s="30" t="n"/>
      <c r="F863" s="32">
        <f>IF(AND(ISNUMBER(D863),ISNUMBER(E863)),D863*E863,"")</f>
        <v/>
      </c>
      <c r="G863" s="31" t="n"/>
      <c r="H863" s="32">
        <f>IF(C863="SELL",F863-SUMIFS($F$2:$F$1000,$B$2:$B$1000,B863,$C$2:$C$1000,"&lt;&gt;SELL",$A$2:$A$1000,"&gt;"&amp;_xlfn.MAXIFS($A$2:$A$1000,$B$2:$B$1000,B863,$C$2:$C$1000,"SELL",$A$2:$A$1000,"&lt;"&amp;A863),$A$2:$A$1000,"&lt;="&amp;A863),"")</f>
        <v/>
      </c>
    </row>
    <row r="864">
      <c r="A864" s="29" t="n"/>
      <c r="B864" s="30" t="n"/>
      <c r="C864" s="30" t="n"/>
      <c r="D864" s="31" t="n"/>
      <c r="E864" s="30" t="n"/>
      <c r="F864" s="32">
        <f>IF(AND(ISNUMBER(D864),ISNUMBER(E864)),D864*E864,"")</f>
        <v/>
      </c>
      <c r="G864" s="31" t="n"/>
      <c r="H864" s="32">
        <f>IF(C864="SELL",F864-SUMIFS($F$2:$F$1000,$B$2:$B$1000,B864,$C$2:$C$1000,"&lt;&gt;SELL",$A$2:$A$1000,"&gt;"&amp;_xlfn.MAXIFS($A$2:$A$1000,$B$2:$B$1000,B864,$C$2:$C$1000,"SELL",$A$2:$A$1000,"&lt;"&amp;A864),$A$2:$A$1000,"&lt;="&amp;A864),"")</f>
        <v/>
      </c>
    </row>
    <row r="865">
      <c r="A865" s="29" t="n"/>
      <c r="B865" s="30" t="n"/>
      <c r="C865" s="30" t="n"/>
      <c r="D865" s="31" t="n"/>
      <c r="E865" s="30" t="n"/>
      <c r="F865" s="32">
        <f>IF(AND(ISNUMBER(D865),ISNUMBER(E865)),D865*E865,"")</f>
        <v/>
      </c>
      <c r="G865" s="31" t="n"/>
      <c r="H865" s="32">
        <f>IF(C865="SELL",F865-SUMIFS($F$2:$F$1000,$B$2:$B$1000,B865,$C$2:$C$1000,"&lt;&gt;SELL",$A$2:$A$1000,"&gt;"&amp;_xlfn.MAXIFS($A$2:$A$1000,$B$2:$B$1000,B865,$C$2:$C$1000,"SELL",$A$2:$A$1000,"&lt;"&amp;A865),$A$2:$A$1000,"&lt;="&amp;A865),"")</f>
        <v/>
      </c>
    </row>
    <row r="866">
      <c r="A866" s="29" t="n"/>
      <c r="B866" s="30" t="n"/>
      <c r="C866" s="30" t="n"/>
      <c r="D866" s="31" t="n"/>
      <c r="E866" s="30" t="n"/>
      <c r="F866" s="32">
        <f>IF(AND(ISNUMBER(D866),ISNUMBER(E866)),D866*E866,"")</f>
        <v/>
      </c>
      <c r="G866" s="31" t="n"/>
      <c r="H866" s="32">
        <f>IF(C866="SELL",F866-SUMIFS($F$2:$F$1000,$B$2:$B$1000,B866,$C$2:$C$1000,"&lt;&gt;SELL",$A$2:$A$1000,"&gt;"&amp;_xlfn.MAXIFS($A$2:$A$1000,$B$2:$B$1000,B866,$C$2:$C$1000,"SELL",$A$2:$A$1000,"&lt;"&amp;A866),$A$2:$A$1000,"&lt;="&amp;A866),"")</f>
        <v/>
      </c>
    </row>
    <row r="867">
      <c r="A867" s="29" t="n"/>
      <c r="B867" s="30" t="n"/>
      <c r="C867" s="30" t="n"/>
      <c r="D867" s="31" t="n"/>
      <c r="E867" s="30" t="n"/>
      <c r="F867" s="32">
        <f>IF(AND(ISNUMBER(D867),ISNUMBER(E867)),D867*E867,"")</f>
        <v/>
      </c>
      <c r="G867" s="31" t="n"/>
      <c r="H867" s="32">
        <f>IF(C867="SELL",F867-SUMIFS($F$2:$F$1000,$B$2:$B$1000,B867,$C$2:$C$1000,"&lt;&gt;SELL",$A$2:$A$1000,"&gt;"&amp;_xlfn.MAXIFS($A$2:$A$1000,$B$2:$B$1000,B867,$C$2:$C$1000,"SELL",$A$2:$A$1000,"&lt;"&amp;A867),$A$2:$A$1000,"&lt;="&amp;A867),"")</f>
        <v/>
      </c>
    </row>
    <row r="868">
      <c r="A868" s="29" t="n"/>
      <c r="B868" s="30" t="n"/>
      <c r="C868" s="30" t="n"/>
      <c r="D868" s="31" t="n"/>
      <c r="E868" s="30" t="n"/>
      <c r="F868" s="32">
        <f>IF(AND(ISNUMBER(D868),ISNUMBER(E868)),D868*E868,"")</f>
        <v/>
      </c>
      <c r="G868" s="31" t="n"/>
      <c r="H868" s="32">
        <f>IF(C868="SELL",F868-SUMIFS($F$2:$F$1000,$B$2:$B$1000,B868,$C$2:$C$1000,"&lt;&gt;SELL",$A$2:$A$1000,"&gt;"&amp;_xlfn.MAXIFS($A$2:$A$1000,$B$2:$B$1000,B868,$C$2:$C$1000,"SELL",$A$2:$A$1000,"&lt;"&amp;A868),$A$2:$A$1000,"&lt;="&amp;A868),"")</f>
        <v/>
      </c>
    </row>
    <row r="869">
      <c r="A869" s="29" t="n"/>
      <c r="B869" s="30" t="n"/>
      <c r="C869" s="30" t="n"/>
      <c r="D869" s="31" t="n"/>
      <c r="E869" s="30" t="n"/>
      <c r="F869" s="32">
        <f>IF(AND(ISNUMBER(D869),ISNUMBER(E869)),D869*E869,"")</f>
        <v/>
      </c>
      <c r="G869" s="31" t="n"/>
      <c r="H869" s="32">
        <f>IF(C869="SELL",F869-SUMIFS($F$2:$F$1000,$B$2:$B$1000,B869,$C$2:$C$1000,"&lt;&gt;SELL",$A$2:$A$1000,"&gt;"&amp;_xlfn.MAXIFS($A$2:$A$1000,$B$2:$B$1000,B869,$C$2:$C$1000,"SELL",$A$2:$A$1000,"&lt;"&amp;A869),$A$2:$A$1000,"&lt;="&amp;A869),"")</f>
        <v/>
      </c>
    </row>
    <row r="870">
      <c r="A870" s="29" t="n"/>
      <c r="B870" s="30" t="n"/>
      <c r="C870" s="30" t="n"/>
      <c r="D870" s="31" t="n"/>
      <c r="E870" s="30" t="n"/>
      <c r="F870" s="32">
        <f>IF(AND(ISNUMBER(D870),ISNUMBER(E870)),D870*E870,"")</f>
        <v/>
      </c>
      <c r="G870" s="31" t="n"/>
      <c r="H870" s="32">
        <f>IF(C870="SELL",F870-SUMIFS($F$2:$F$1000,$B$2:$B$1000,B870,$C$2:$C$1000,"&lt;&gt;SELL",$A$2:$A$1000,"&gt;"&amp;_xlfn.MAXIFS($A$2:$A$1000,$B$2:$B$1000,B870,$C$2:$C$1000,"SELL",$A$2:$A$1000,"&lt;"&amp;A870),$A$2:$A$1000,"&lt;="&amp;A870),"")</f>
        <v/>
      </c>
    </row>
    <row r="871">
      <c r="A871" s="29" t="n"/>
      <c r="B871" s="30" t="n"/>
      <c r="C871" s="30" t="n"/>
      <c r="D871" s="31" t="n"/>
      <c r="E871" s="30" t="n"/>
      <c r="F871" s="32">
        <f>IF(AND(ISNUMBER(D871),ISNUMBER(E871)),D871*E871,"")</f>
        <v/>
      </c>
      <c r="G871" s="31" t="n"/>
      <c r="H871" s="32">
        <f>IF(C871="SELL",F871-SUMIFS($F$2:$F$1000,$B$2:$B$1000,B871,$C$2:$C$1000,"&lt;&gt;SELL",$A$2:$A$1000,"&gt;"&amp;_xlfn.MAXIFS($A$2:$A$1000,$B$2:$B$1000,B871,$C$2:$C$1000,"SELL",$A$2:$A$1000,"&lt;"&amp;A871),$A$2:$A$1000,"&lt;="&amp;A871),"")</f>
        <v/>
      </c>
    </row>
    <row r="872">
      <c r="A872" s="29" t="n"/>
      <c r="B872" s="30" t="n"/>
      <c r="C872" s="30" t="n"/>
      <c r="D872" s="31" t="n"/>
      <c r="E872" s="30" t="n"/>
      <c r="F872" s="32">
        <f>IF(AND(ISNUMBER(D872),ISNUMBER(E872)),D872*E872,"")</f>
        <v/>
      </c>
      <c r="G872" s="31" t="n"/>
      <c r="H872" s="32">
        <f>IF(C872="SELL",F872-SUMIFS($F$2:$F$1000,$B$2:$B$1000,B872,$C$2:$C$1000,"&lt;&gt;SELL",$A$2:$A$1000,"&gt;"&amp;_xlfn.MAXIFS($A$2:$A$1000,$B$2:$B$1000,B872,$C$2:$C$1000,"SELL",$A$2:$A$1000,"&lt;"&amp;A872),$A$2:$A$1000,"&lt;="&amp;A872),"")</f>
        <v/>
      </c>
    </row>
    <row r="873">
      <c r="A873" s="29" t="n"/>
      <c r="B873" s="30" t="n"/>
      <c r="C873" s="30" t="n"/>
      <c r="D873" s="31" t="n"/>
      <c r="E873" s="30" t="n"/>
      <c r="F873" s="32">
        <f>IF(AND(ISNUMBER(D873),ISNUMBER(E873)),D873*E873,"")</f>
        <v/>
      </c>
      <c r="G873" s="31" t="n"/>
      <c r="H873" s="32">
        <f>IF(C873="SELL",F873-SUMIFS($F$2:$F$1000,$B$2:$B$1000,B873,$C$2:$C$1000,"&lt;&gt;SELL",$A$2:$A$1000,"&gt;"&amp;_xlfn.MAXIFS($A$2:$A$1000,$B$2:$B$1000,B873,$C$2:$C$1000,"SELL",$A$2:$A$1000,"&lt;"&amp;A873),$A$2:$A$1000,"&lt;="&amp;A873),"")</f>
        <v/>
      </c>
    </row>
    <row r="874">
      <c r="A874" s="29" t="n"/>
      <c r="B874" s="30" t="n"/>
      <c r="C874" s="30" t="n"/>
      <c r="D874" s="31" t="n"/>
      <c r="E874" s="30" t="n"/>
      <c r="F874" s="32">
        <f>IF(AND(ISNUMBER(D874),ISNUMBER(E874)),D874*E874,"")</f>
        <v/>
      </c>
      <c r="G874" s="31" t="n"/>
      <c r="H874" s="32">
        <f>IF(C874="SELL",F874-SUMIFS($F$2:$F$1000,$B$2:$B$1000,B874,$C$2:$C$1000,"&lt;&gt;SELL",$A$2:$A$1000,"&gt;"&amp;_xlfn.MAXIFS($A$2:$A$1000,$B$2:$B$1000,B874,$C$2:$C$1000,"SELL",$A$2:$A$1000,"&lt;"&amp;A874),$A$2:$A$1000,"&lt;="&amp;A874),"")</f>
        <v/>
      </c>
    </row>
    <row r="875">
      <c r="A875" s="29" t="n"/>
      <c r="B875" s="30" t="n"/>
      <c r="C875" s="30" t="n"/>
      <c r="D875" s="31" t="n"/>
      <c r="E875" s="30" t="n"/>
      <c r="F875" s="32">
        <f>IF(AND(ISNUMBER(D875),ISNUMBER(E875)),D875*E875,"")</f>
        <v/>
      </c>
      <c r="G875" s="31" t="n"/>
      <c r="H875" s="32">
        <f>IF(C875="SELL",F875-SUMIFS($F$2:$F$1000,$B$2:$B$1000,B875,$C$2:$C$1000,"&lt;&gt;SELL",$A$2:$A$1000,"&gt;"&amp;_xlfn.MAXIFS($A$2:$A$1000,$B$2:$B$1000,B875,$C$2:$C$1000,"SELL",$A$2:$A$1000,"&lt;"&amp;A875),$A$2:$A$1000,"&lt;="&amp;A875),"")</f>
        <v/>
      </c>
    </row>
    <row r="876">
      <c r="A876" s="29" t="n"/>
      <c r="B876" s="30" t="n"/>
      <c r="C876" s="30" t="n"/>
      <c r="D876" s="31" t="n"/>
      <c r="E876" s="30" t="n"/>
      <c r="F876" s="32">
        <f>IF(AND(ISNUMBER(D876),ISNUMBER(E876)),D876*E876,"")</f>
        <v/>
      </c>
      <c r="G876" s="31" t="n"/>
      <c r="H876" s="32">
        <f>IF(C876="SELL",F876-SUMIFS($F$2:$F$1000,$B$2:$B$1000,B876,$C$2:$C$1000,"&lt;&gt;SELL",$A$2:$A$1000,"&gt;"&amp;_xlfn.MAXIFS($A$2:$A$1000,$B$2:$B$1000,B876,$C$2:$C$1000,"SELL",$A$2:$A$1000,"&lt;"&amp;A876),$A$2:$A$1000,"&lt;="&amp;A876),"")</f>
        <v/>
      </c>
    </row>
    <row r="877">
      <c r="A877" s="29" t="n"/>
      <c r="B877" s="30" t="n"/>
      <c r="C877" s="30" t="n"/>
      <c r="D877" s="31" t="n"/>
      <c r="E877" s="30" t="n"/>
      <c r="F877" s="32">
        <f>IF(AND(ISNUMBER(D877),ISNUMBER(E877)),D877*E877,"")</f>
        <v/>
      </c>
      <c r="G877" s="31" t="n"/>
      <c r="H877" s="32">
        <f>IF(C877="SELL",F877-SUMIFS($F$2:$F$1000,$B$2:$B$1000,B877,$C$2:$C$1000,"&lt;&gt;SELL",$A$2:$A$1000,"&gt;"&amp;_xlfn.MAXIFS($A$2:$A$1000,$B$2:$B$1000,B877,$C$2:$C$1000,"SELL",$A$2:$A$1000,"&lt;"&amp;A877),$A$2:$A$1000,"&lt;="&amp;A877),"")</f>
        <v/>
      </c>
    </row>
    <row r="878">
      <c r="A878" s="29" t="n"/>
      <c r="B878" s="30" t="n"/>
      <c r="C878" s="30" t="n"/>
      <c r="D878" s="31" t="n"/>
      <c r="E878" s="30" t="n"/>
      <c r="F878" s="32">
        <f>IF(AND(ISNUMBER(D878),ISNUMBER(E878)),D878*E878,"")</f>
        <v/>
      </c>
      <c r="G878" s="31" t="n"/>
      <c r="H878" s="32">
        <f>IF(C878="SELL",F878-SUMIFS($F$2:$F$1000,$B$2:$B$1000,B878,$C$2:$C$1000,"&lt;&gt;SELL",$A$2:$A$1000,"&gt;"&amp;_xlfn.MAXIFS($A$2:$A$1000,$B$2:$B$1000,B878,$C$2:$C$1000,"SELL",$A$2:$A$1000,"&lt;"&amp;A878),$A$2:$A$1000,"&lt;="&amp;A878),"")</f>
        <v/>
      </c>
    </row>
    <row r="879">
      <c r="A879" s="29" t="n"/>
      <c r="B879" s="30" t="n"/>
      <c r="C879" s="30" t="n"/>
      <c r="D879" s="31" t="n"/>
      <c r="E879" s="30" t="n"/>
      <c r="F879" s="32">
        <f>IF(AND(ISNUMBER(D879),ISNUMBER(E879)),D879*E879,"")</f>
        <v/>
      </c>
      <c r="G879" s="31" t="n"/>
      <c r="H879" s="32">
        <f>IF(C879="SELL",F879-SUMIFS($F$2:$F$1000,$B$2:$B$1000,B879,$C$2:$C$1000,"&lt;&gt;SELL",$A$2:$A$1000,"&gt;"&amp;_xlfn.MAXIFS($A$2:$A$1000,$B$2:$B$1000,B879,$C$2:$C$1000,"SELL",$A$2:$A$1000,"&lt;"&amp;A879),$A$2:$A$1000,"&lt;="&amp;A879),"")</f>
        <v/>
      </c>
    </row>
    <row r="880">
      <c r="A880" s="29" t="n"/>
      <c r="B880" s="30" t="n"/>
      <c r="C880" s="30" t="n"/>
      <c r="D880" s="31" t="n"/>
      <c r="E880" s="30" t="n"/>
      <c r="F880" s="32">
        <f>IF(AND(ISNUMBER(D880),ISNUMBER(E880)),D880*E880,"")</f>
        <v/>
      </c>
      <c r="G880" s="31" t="n"/>
      <c r="H880" s="32">
        <f>IF(C880="SELL",F880-SUMIFS($F$2:$F$1000,$B$2:$B$1000,B880,$C$2:$C$1000,"&lt;&gt;SELL",$A$2:$A$1000,"&gt;"&amp;_xlfn.MAXIFS($A$2:$A$1000,$B$2:$B$1000,B880,$C$2:$C$1000,"SELL",$A$2:$A$1000,"&lt;"&amp;A880),$A$2:$A$1000,"&lt;="&amp;A880),"")</f>
        <v/>
      </c>
    </row>
    <row r="881">
      <c r="A881" s="29" t="n"/>
      <c r="B881" s="30" t="n"/>
      <c r="C881" s="30" t="n"/>
      <c r="D881" s="31" t="n"/>
      <c r="E881" s="30" t="n"/>
      <c r="F881" s="32">
        <f>IF(AND(ISNUMBER(D881),ISNUMBER(E881)),D881*E881,"")</f>
        <v/>
      </c>
      <c r="G881" s="31" t="n"/>
      <c r="H881" s="32">
        <f>IF(C881="SELL",F881-SUMIFS($F$2:$F$1000,$B$2:$B$1000,B881,$C$2:$C$1000,"&lt;&gt;SELL",$A$2:$A$1000,"&gt;"&amp;_xlfn.MAXIFS($A$2:$A$1000,$B$2:$B$1000,B881,$C$2:$C$1000,"SELL",$A$2:$A$1000,"&lt;"&amp;A881),$A$2:$A$1000,"&lt;="&amp;A881),"")</f>
        <v/>
      </c>
    </row>
    <row r="882">
      <c r="A882" s="29" t="n"/>
      <c r="B882" s="30" t="n"/>
      <c r="C882" s="30" t="n"/>
      <c r="D882" s="31" t="n"/>
      <c r="E882" s="30" t="n"/>
      <c r="F882" s="32">
        <f>IF(AND(ISNUMBER(D882),ISNUMBER(E882)),D882*E882,"")</f>
        <v/>
      </c>
      <c r="G882" s="31" t="n"/>
      <c r="H882" s="32">
        <f>IF(C882="SELL",F882-SUMIFS($F$2:$F$1000,$B$2:$B$1000,B882,$C$2:$C$1000,"&lt;&gt;SELL",$A$2:$A$1000,"&gt;"&amp;_xlfn.MAXIFS($A$2:$A$1000,$B$2:$B$1000,B882,$C$2:$C$1000,"SELL",$A$2:$A$1000,"&lt;"&amp;A882),$A$2:$A$1000,"&lt;="&amp;A882),"")</f>
        <v/>
      </c>
    </row>
    <row r="883">
      <c r="A883" s="29" t="n"/>
      <c r="B883" s="30" t="n"/>
      <c r="C883" s="30" t="n"/>
      <c r="D883" s="31" t="n"/>
      <c r="E883" s="30" t="n"/>
      <c r="F883" s="32">
        <f>IF(AND(ISNUMBER(D883),ISNUMBER(E883)),D883*E883,"")</f>
        <v/>
      </c>
      <c r="G883" s="31" t="n"/>
      <c r="H883" s="32">
        <f>IF(C883="SELL",F883-SUMIFS($F$2:$F$1000,$B$2:$B$1000,B883,$C$2:$C$1000,"&lt;&gt;SELL",$A$2:$A$1000,"&gt;"&amp;_xlfn.MAXIFS($A$2:$A$1000,$B$2:$B$1000,B883,$C$2:$C$1000,"SELL",$A$2:$A$1000,"&lt;"&amp;A883),$A$2:$A$1000,"&lt;="&amp;A883),"")</f>
        <v/>
      </c>
    </row>
    <row r="884">
      <c r="A884" s="29" t="n"/>
      <c r="B884" s="30" t="n"/>
      <c r="C884" s="30" t="n"/>
      <c r="D884" s="31" t="n"/>
      <c r="E884" s="30" t="n"/>
      <c r="F884" s="32">
        <f>IF(AND(ISNUMBER(D884),ISNUMBER(E884)),D884*E884,"")</f>
        <v/>
      </c>
      <c r="G884" s="31" t="n"/>
      <c r="H884" s="32">
        <f>IF(C884="SELL",F884-SUMIFS($F$2:$F$1000,$B$2:$B$1000,B884,$C$2:$C$1000,"&lt;&gt;SELL",$A$2:$A$1000,"&gt;"&amp;_xlfn.MAXIFS($A$2:$A$1000,$B$2:$B$1000,B884,$C$2:$C$1000,"SELL",$A$2:$A$1000,"&lt;"&amp;A884),$A$2:$A$1000,"&lt;="&amp;A884),"")</f>
        <v/>
      </c>
    </row>
    <row r="885">
      <c r="A885" s="29" t="n"/>
      <c r="B885" s="30" t="n"/>
      <c r="C885" s="30" t="n"/>
      <c r="D885" s="31" t="n"/>
      <c r="E885" s="30" t="n"/>
      <c r="F885" s="32">
        <f>IF(AND(ISNUMBER(D885),ISNUMBER(E885)),D885*E885,"")</f>
        <v/>
      </c>
      <c r="G885" s="31" t="n"/>
      <c r="H885" s="32">
        <f>IF(C885="SELL",F885-SUMIFS($F$2:$F$1000,$B$2:$B$1000,B885,$C$2:$C$1000,"&lt;&gt;SELL",$A$2:$A$1000,"&gt;"&amp;_xlfn.MAXIFS($A$2:$A$1000,$B$2:$B$1000,B885,$C$2:$C$1000,"SELL",$A$2:$A$1000,"&lt;"&amp;A885),$A$2:$A$1000,"&lt;="&amp;A885),"")</f>
        <v/>
      </c>
    </row>
    <row r="886">
      <c r="A886" s="29" t="n"/>
      <c r="B886" s="30" t="n"/>
      <c r="C886" s="30" t="n"/>
      <c r="D886" s="31" t="n"/>
      <c r="E886" s="30" t="n"/>
      <c r="F886" s="32">
        <f>IF(AND(ISNUMBER(D886),ISNUMBER(E886)),D886*E886,"")</f>
        <v/>
      </c>
      <c r="G886" s="31" t="n"/>
      <c r="H886" s="32">
        <f>IF(C886="SELL",F886-SUMIFS($F$2:$F$1000,$B$2:$B$1000,B886,$C$2:$C$1000,"&lt;&gt;SELL",$A$2:$A$1000,"&gt;"&amp;_xlfn.MAXIFS($A$2:$A$1000,$B$2:$B$1000,B886,$C$2:$C$1000,"SELL",$A$2:$A$1000,"&lt;"&amp;A886),$A$2:$A$1000,"&lt;="&amp;A886),"")</f>
        <v/>
      </c>
    </row>
    <row r="887">
      <c r="A887" s="29" t="n"/>
      <c r="B887" s="30" t="n"/>
      <c r="C887" s="30" t="n"/>
      <c r="D887" s="31" t="n"/>
      <c r="E887" s="30" t="n"/>
      <c r="F887" s="32">
        <f>IF(AND(ISNUMBER(D887),ISNUMBER(E887)),D887*E887,"")</f>
        <v/>
      </c>
      <c r="G887" s="31" t="n"/>
      <c r="H887" s="32">
        <f>IF(C887="SELL",F887-SUMIFS($F$2:$F$1000,$B$2:$B$1000,B887,$C$2:$C$1000,"&lt;&gt;SELL",$A$2:$A$1000,"&gt;"&amp;_xlfn.MAXIFS($A$2:$A$1000,$B$2:$B$1000,B887,$C$2:$C$1000,"SELL",$A$2:$A$1000,"&lt;"&amp;A887),$A$2:$A$1000,"&lt;="&amp;A887),"")</f>
        <v/>
      </c>
    </row>
    <row r="888">
      <c r="A888" s="29" t="n"/>
      <c r="B888" s="30" t="n"/>
      <c r="C888" s="30" t="n"/>
      <c r="D888" s="31" t="n"/>
      <c r="E888" s="30" t="n"/>
      <c r="F888" s="32">
        <f>IF(AND(ISNUMBER(D888),ISNUMBER(E888)),D888*E888,"")</f>
        <v/>
      </c>
      <c r="G888" s="31" t="n"/>
      <c r="H888" s="32">
        <f>IF(C888="SELL",F888-SUMIFS($F$2:$F$1000,$B$2:$B$1000,B888,$C$2:$C$1000,"&lt;&gt;SELL",$A$2:$A$1000,"&gt;"&amp;_xlfn.MAXIFS($A$2:$A$1000,$B$2:$B$1000,B888,$C$2:$C$1000,"SELL",$A$2:$A$1000,"&lt;"&amp;A888),$A$2:$A$1000,"&lt;="&amp;A888),"")</f>
        <v/>
      </c>
    </row>
    <row r="889">
      <c r="A889" s="29" t="n"/>
      <c r="B889" s="30" t="n"/>
      <c r="C889" s="30" t="n"/>
      <c r="D889" s="31" t="n"/>
      <c r="E889" s="30" t="n"/>
      <c r="F889" s="32">
        <f>IF(AND(ISNUMBER(D889),ISNUMBER(E889)),D889*E889,"")</f>
        <v/>
      </c>
      <c r="G889" s="31" t="n"/>
      <c r="H889" s="32">
        <f>IF(C889="SELL",F889-SUMIFS($F$2:$F$1000,$B$2:$B$1000,B889,$C$2:$C$1000,"&lt;&gt;SELL",$A$2:$A$1000,"&gt;"&amp;_xlfn.MAXIFS($A$2:$A$1000,$B$2:$B$1000,B889,$C$2:$C$1000,"SELL",$A$2:$A$1000,"&lt;"&amp;A889),$A$2:$A$1000,"&lt;="&amp;A889),"")</f>
        <v/>
      </c>
    </row>
    <row r="890">
      <c r="A890" s="29" t="n"/>
      <c r="B890" s="30" t="n"/>
      <c r="C890" s="30" t="n"/>
      <c r="D890" s="31" t="n"/>
      <c r="E890" s="30" t="n"/>
      <c r="F890" s="32">
        <f>IF(AND(ISNUMBER(D890),ISNUMBER(E890)),D890*E890,"")</f>
        <v/>
      </c>
      <c r="G890" s="31" t="n"/>
      <c r="H890" s="32">
        <f>IF(C890="SELL",F890-SUMIFS($F$2:$F$1000,$B$2:$B$1000,B890,$C$2:$C$1000,"&lt;&gt;SELL",$A$2:$A$1000,"&gt;"&amp;_xlfn.MAXIFS($A$2:$A$1000,$B$2:$B$1000,B890,$C$2:$C$1000,"SELL",$A$2:$A$1000,"&lt;"&amp;A890),$A$2:$A$1000,"&lt;="&amp;A890),"")</f>
        <v/>
      </c>
    </row>
    <row r="891">
      <c r="A891" s="29" t="n"/>
      <c r="B891" s="30" t="n"/>
      <c r="C891" s="30" t="n"/>
      <c r="D891" s="31" t="n"/>
      <c r="E891" s="30" t="n"/>
      <c r="F891" s="32">
        <f>IF(AND(ISNUMBER(D891),ISNUMBER(E891)),D891*E891,"")</f>
        <v/>
      </c>
      <c r="G891" s="31" t="n"/>
      <c r="H891" s="32">
        <f>IF(C891="SELL",F891-SUMIFS($F$2:$F$1000,$B$2:$B$1000,B891,$C$2:$C$1000,"&lt;&gt;SELL",$A$2:$A$1000,"&gt;"&amp;_xlfn.MAXIFS($A$2:$A$1000,$B$2:$B$1000,B891,$C$2:$C$1000,"SELL",$A$2:$A$1000,"&lt;"&amp;A891),$A$2:$A$1000,"&lt;="&amp;A891),"")</f>
        <v/>
      </c>
    </row>
    <row r="892">
      <c r="A892" s="29" t="n"/>
      <c r="B892" s="30" t="n"/>
      <c r="C892" s="30" t="n"/>
      <c r="D892" s="31" t="n"/>
      <c r="E892" s="30" t="n"/>
      <c r="F892" s="32">
        <f>IF(AND(ISNUMBER(D892),ISNUMBER(E892)),D892*E892,"")</f>
        <v/>
      </c>
      <c r="G892" s="31" t="n"/>
      <c r="H892" s="32">
        <f>IF(C892="SELL",F892-SUMIFS($F$2:$F$1000,$B$2:$B$1000,B892,$C$2:$C$1000,"&lt;&gt;SELL",$A$2:$A$1000,"&gt;"&amp;_xlfn.MAXIFS($A$2:$A$1000,$B$2:$B$1000,B892,$C$2:$C$1000,"SELL",$A$2:$A$1000,"&lt;"&amp;A892),$A$2:$A$1000,"&lt;="&amp;A892),"")</f>
        <v/>
      </c>
    </row>
    <row r="893">
      <c r="A893" s="29" t="n"/>
      <c r="B893" s="30" t="n"/>
      <c r="C893" s="30" t="n"/>
      <c r="D893" s="31" t="n"/>
      <c r="E893" s="30" t="n"/>
      <c r="F893" s="32">
        <f>IF(AND(ISNUMBER(D893),ISNUMBER(E893)),D893*E893,"")</f>
        <v/>
      </c>
      <c r="G893" s="31" t="n"/>
      <c r="H893" s="32">
        <f>IF(C893="SELL",F893-SUMIFS($F$2:$F$1000,$B$2:$B$1000,B893,$C$2:$C$1000,"&lt;&gt;SELL",$A$2:$A$1000,"&gt;"&amp;_xlfn.MAXIFS($A$2:$A$1000,$B$2:$B$1000,B893,$C$2:$C$1000,"SELL",$A$2:$A$1000,"&lt;"&amp;A893),$A$2:$A$1000,"&lt;="&amp;A893),"")</f>
        <v/>
      </c>
    </row>
    <row r="894">
      <c r="A894" s="29" t="n"/>
      <c r="B894" s="30" t="n"/>
      <c r="C894" s="30" t="n"/>
      <c r="D894" s="31" t="n"/>
      <c r="E894" s="30" t="n"/>
      <c r="F894" s="32">
        <f>IF(AND(ISNUMBER(D894),ISNUMBER(E894)),D894*E894,"")</f>
        <v/>
      </c>
      <c r="G894" s="31" t="n"/>
      <c r="H894" s="32">
        <f>IF(C894="SELL",F894-SUMIFS($F$2:$F$1000,$B$2:$B$1000,B894,$C$2:$C$1000,"&lt;&gt;SELL",$A$2:$A$1000,"&gt;"&amp;_xlfn.MAXIFS($A$2:$A$1000,$B$2:$B$1000,B894,$C$2:$C$1000,"SELL",$A$2:$A$1000,"&lt;"&amp;A894),$A$2:$A$1000,"&lt;="&amp;A894),"")</f>
        <v/>
      </c>
    </row>
    <row r="895">
      <c r="A895" s="29" t="n"/>
      <c r="B895" s="30" t="n"/>
      <c r="C895" s="30" t="n"/>
      <c r="D895" s="31" t="n"/>
      <c r="E895" s="30" t="n"/>
      <c r="F895" s="32">
        <f>IF(AND(ISNUMBER(D895),ISNUMBER(E895)),D895*E895,"")</f>
        <v/>
      </c>
      <c r="G895" s="31" t="n"/>
      <c r="H895" s="32">
        <f>IF(C895="SELL",F895-SUMIFS($F$2:$F$1000,$B$2:$B$1000,B895,$C$2:$C$1000,"&lt;&gt;SELL",$A$2:$A$1000,"&gt;"&amp;_xlfn.MAXIFS($A$2:$A$1000,$B$2:$B$1000,B895,$C$2:$C$1000,"SELL",$A$2:$A$1000,"&lt;"&amp;A895),$A$2:$A$1000,"&lt;="&amp;A895),"")</f>
        <v/>
      </c>
    </row>
    <row r="896">
      <c r="A896" s="29" t="n"/>
      <c r="B896" s="30" t="n"/>
      <c r="C896" s="30" t="n"/>
      <c r="D896" s="31" t="n"/>
      <c r="E896" s="30" t="n"/>
      <c r="F896" s="32">
        <f>IF(AND(ISNUMBER(D896),ISNUMBER(E896)),D896*E896,"")</f>
        <v/>
      </c>
      <c r="G896" s="31" t="n"/>
      <c r="H896" s="32">
        <f>IF(C896="SELL",F896-SUMIFS($F$2:$F$1000,$B$2:$B$1000,B896,$C$2:$C$1000,"&lt;&gt;SELL",$A$2:$A$1000,"&gt;"&amp;_xlfn.MAXIFS($A$2:$A$1000,$B$2:$B$1000,B896,$C$2:$C$1000,"SELL",$A$2:$A$1000,"&lt;"&amp;A896),$A$2:$A$1000,"&lt;="&amp;A896),"")</f>
        <v/>
      </c>
    </row>
    <row r="897">
      <c r="A897" s="29" t="n"/>
      <c r="B897" s="30" t="n"/>
      <c r="C897" s="30" t="n"/>
      <c r="D897" s="31" t="n"/>
      <c r="E897" s="30" t="n"/>
      <c r="F897" s="32">
        <f>IF(AND(ISNUMBER(D897),ISNUMBER(E897)),D897*E897,"")</f>
        <v/>
      </c>
      <c r="G897" s="31" t="n"/>
      <c r="H897" s="32">
        <f>IF(C897="SELL",F897-SUMIFS($F$2:$F$1000,$B$2:$B$1000,B897,$C$2:$C$1000,"&lt;&gt;SELL",$A$2:$A$1000,"&gt;"&amp;_xlfn.MAXIFS($A$2:$A$1000,$B$2:$B$1000,B897,$C$2:$C$1000,"SELL",$A$2:$A$1000,"&lt;"&amp;A897),$A$2:$A$1000,"&lt;="&amp;A897),"")</f>
        <v/>
      </c>
    </row>
    <row r="898">
      <c r="A898" s="29" t="n"/>
      <c r="B898" s="30" t="n"/>
      <c r="C898" s="30" t="n"/>
      <c r="D898" s="31" t="n"/>
      <c r="E898" s="30" t="n"/>
      <c r="F898" s="32">
        <f>IF(AND(ISNUMBER(D898),ISNUMBER(E898)),D898*E898,"")</f>
        <v/>
      </c>
      <c r="G898" s="31" t="n"/>
      <c r="H898" s="32">
        <f>IF(C898="SELL",F898-SUMIFS($F$2:$F$1000,$B$2:$B$1000,B898,$C$2:$C$1000,"&lt;&gt;SELL",$A$2:$A$1000,"&gt;"&amp;_xlfn.MAXIFS($A$2:$A$1000,$B$2:$B$1000,B898,$C$2:$C$1000,"SELL",$A$2:$A$1000,"&lt;"&amp;A898),$A$2:$A$1000,"&lt;="&amp;A898),"")</f>
        <v/>
      </c>
    </row>
    <row r="899">
      <c r="A899" s="29" t="n"/>
      <c r="B899" s="30" t="n"/>
      <c r="C899" s="30" t="n"/>
      <c r="D899" s="31" t="n"/>
      <c r="E899" s="30" t="n"/>
      <c r="F899" s="32">
        <f>IF(AND(ISNUMBER(D899),ISNUMBER(E899)),D899*E899,"")</f>
        <v/>
      </c>
      <c r="G899" s="31" t="n"/>
      <c r="H899" s="32">
        <f>IF(C899="SELL",F899-SUMIFS($F$2:$F$1000,$B$2:$B$1000,B899,$C$2:$C$1000,"&lt;&gt;SELL",$A$2:$A$1000,"&gt;"&amp;_xlfn.MAXIFS($A$2:$A$1000,$B$2:$B$1000,B899,$C$2:$C$1000,"SELL",$A$2:$A$1000,"&lt;"&amp;A899),$A$2:$A$1000,"&lt;="&amp;A899),"")</f>
        <v/>
      </c>
    </row>
    <row r="900">
      <c r="A900" s="29" t="n"/>
      <c r="B900" s="30" t="n"/>
      <c r="C900" s="30" t="n"/>
      <c r="D900" s="31" t="n"/>
      <c r="E900" s="30" t="n"/>
      <c r="F900" s="32">
        <f>IF(AND(ISNUMBER(D900),ISNUMBER(E900)),D900*E900,"")</f>
        <v/>
      </c>
      <c r="G900" s="31" t="n"/>
      <c r="H900" s="32">
        <f>IF(C900="SELL",F900-SUMIFS($F$2:$F$1000,$B$2:$B$1000,B900,$C$2:$C$1000,"&lt;&gt;SELL",$A$2:$A$1000,"&gt;"&amp;_xlfn.MAXIFS($A$2:$A$1000,$B$2:$B$1000,B900,$C$2:$C$1000,"SELL",$A$2:$A$1000,"&lt;"&amp;A900),$A$2:$A$1000,"&lt;="&amp;A900),"")</f>
        <v/>
      </c>
    </row>
    <row r="901">
      <c r="A901" s="29" t="n"/>
      <c r="B901" s="30" t="n"/>
      <c r="C901" s="30" t="n"/>
      <c r="D901" s="31" t="n"/>
      <c r="E901" s="30" t="n"/>
      <c r="F901" s="32">
        <f>IF(AND(ISNUMBER(D901),ISNUMBER(E901)),D901*E901,"")</f>
        <v/>
      </c>
      <c r="G901" s="31" t="n"/>
      <c r="H901" s="32">
        <f>IF(C901="SELL",F901-SUMIFS($F$2:$F$1000,$B$2:$B$1000,B901,$C$2:$C$1000,"&lt;&gt;SELL",$A$2:$A$1000,"&gt;"&amp;_xlfn.MAXIFS($A$2:$A$1000,$B$2:$B$1000,B901,$C$2:$C$1000,"SELL",$A$2:$A$1000,"&lt;"&amp;A901),$A$2:$A$1000,"&lt;="&amp;A901),"")</f>
        <v/>
      </c>
    </row>
    <row r="902">
      <c r="A902" s="29" t="n"/>
      <c r="B902" s="30" t="n"/>
      <c r="C902" s="30" t="n"/>
      <c r="D902" s="31" t="n"/>
      <c r="E902" s="30" t="n"/>
      <c r="F902" s="32">
        <f>IF(AND(ISNUMBER(D902),ISNUMBER(E902)),D902*E902,"")</f>
        <v/>
      </c>
      <c r="G902" s="31" t="n"/>
      <c r="H902" s="32">
        <f>IF(C902="SELL",F902-SUMIFS($F$2:$F$1000,$B$2:$B$1000,B902,$C$2:$C$1000,"&lt;&gt;SELL",$A$2:$A$1000,"&gt;"&amp;_xlfn.MAXIFS($A$2:$A$1000,$B$2:$B$1000,B902,$C$2:$C$1000,"SELL",$A$2:$A$1000,"&lt;"&amp;A902),$A$2:$A$1000,"&lt;="&amp;A902),"")</f>
        <v/>
      </c>
    </row>
    <row r="903">
      <c r="A903" s="29" t="n"/>
      <c r="B903" s="30" t="n"/>
      <c r="C903" s="30" t="n"/>
      <c r="D903" s="31" t="n"/>
      <c r="E903" s="30" t="n"/>
      <c r="F903" s="32">
        <f>IF(AND(ISNUMBER(D903),ISNUMBER(E903)),D903*E903,"")</f>
        <v/>
      </c>
      <c r="G903" s="31" t="n"/>
      <c r="H903" s="32">
        <f>IF(C903="SELL",F903-SUMIFS($F$2:$F$1000,$B$2:$B$1000,B903,$C$2:$C$1000,"&lt;&gt;SELL",$A$2:$A$1000,"&gt;"&amp;_xlfn.MAXIFS($A$2:$A$1000,$B$2:$B$1000,B903,$C$2:$C$1000,"SELL",$A$2:$A$1000,"&lt;"&amp;A903),$A$2:$A$1000,"&lt;="&amp;A903),"")</f>
        <v/>
      </c>
    </row>
    <row r="904">
      <c r="A904" s="29" t="n"/>
      <c r="B904" s="30" t="n"/>
      <c r="C904" s="30" t="n"/>
      <c r="D904" s="31" t="n"/>
      <c r="E904" s="30" t="n"/>
      <c r="F904" s="32">
        <f>IF(AND(ISNUMBER(D904),ISNUMBER(E904)),D904*E904,"")</f>
        <v/>
      </c>
      <c r="G904" s="31" t="n"/>
      <c r="H904" s="32">
        <f>IF(C904="SELL",F904-SUMIFS($F$2:$F$1000,$B$2:$B$1000,B904,$C$2:$C$1000,"&lt;&gt;SELL",$A$2:$A$1000,"&gt;"&amp;_xlfn.MAXIFS($A$2:$A$1000,$B$2:$B$1000,B904,$C$2:$C$1000,"SELL",$A$2:$A$1000,"&lt;"&amp;A904),$A$2:$A$1000,"&lt;="&amp;A904),"")</f>
        <v/>
      </c>
    </row>
    <row r="905">
      <c r="A905" s="29" t="n"/>
      <c r="B905" s="30" t="n"/>
      <c r="C905" s="30" t="n"/>
      <c r="D905" s="31" t="n"/>
      <c r="E905" s="30" t="n"/>
      <c r="F905" s="32">
        <f>IF(AND(ISNUMBER(D905),ISNUMBER(E905)),D905*E905,"")</f>
        <v/>
      </c>
      <c r="G905" s="31" t="n"/>
      <c r="H905" s="32">
        <f>IF(C905="SELL",F905-SUMIFS($F$2:$F$1000,$B$2:$B$1000,B905,$C$2:$C$1000,"&lt;&gt;SELL",$A$2:$A$1000,"&gt;"&amp;_xlfn.MAXIFS($A$2:$A$1000,$B$2:$B$1000,B905,$C$2:$C$1000,"SELL",$A$2:$A$1000,"&lt;"&amp;A905),$A$2:$A$1000,"&lt;="&amp;A905),"")</f>
        <v/>
      </c>
    </row>
    <row r="906">
      <c r="A906" s="29" t="n"/>
      <c r="B906" s="30" t="n"/>
      <c r="C906" s="30" t="n"/>
      <c r="D906" s="31" t="n"/>
      <c r="E906" s="30" t="n"/>
      <c r="F906" s="32">
        <f>IF(AND(ISNUMBER(D906),ISNUMBER(E906)),D906*E906,"")</f>
        <v/>
      </c>
      <c r="G906" s="31" t="n"/>
      <c r="H906" s="32">
        <f>IF(C906="SELL",F906-SUMIFS($F$2:$F$1000,$B$2:$B$1000,B906,$C$2:$C$1000,"&lt;&gt;SELL",$A$2:$A$1000,"&gt;"&amp;_xlfn.MAXIFS($A$2:$A$1000,$B$2:$B$1000,B906,$C$2:$C$1000,"SELL",$A$2:$A$1000,"&lt;"&amp;A906),$A$2:$A$1000,"&lt;="&amp;A906),"")</f>
        <v/>
      </c>
    </row>
    <row r="907">
      <c r="A907" s="29" t="n"/>
      <c r="B907" s="30" t="n"/>
      <c r="C907" s="30" t="n"/>
      <c r="D907" s="31" t="n"/>
      <c r="E907" s="30" t="n"/>
      <c r="F907" s="32">
        <f>IF(AND(ISNUMBER(D907),ISNUMBER(E907)),D907*E907,"")</f>
        <v/>
      </c>
      <c r="G907" s="31" t="n"/>
      <c r="H907" s="32">
        <f>IF(C907="SELL",F907-SUMIFS($F$2:$F$1000,$B$2:$B$1000,B907,$C$2:$C$1000,"&lt;&gt;SELL",$A$2:$A$1000,"&gt;"&amp;_xlfn.MAXIFS($A$2:$A$1000,$B$2:$B$1000,B907,$C$2:$C$1000,"SELL",$A$2:$A$1000,"&lt;"&amp;A907),$A$2:$A$1000,"&lt;="&amp;A907),"")</f>
        <v/>
      </c>
    </row>
    <row r="908">
      <c r="A908" s="29" t="n"/>
      <c r="B908" s="30" t="n"/>
      <c r="C908" s="30" t="n"/>
      <c r="D908" s="31" t="n"/>
      <c r="E908" s="30" t="n"/>
      <c r="F908" s="32">
        <f>IF(AND(ISNUMBER(D908),ISNUMBER(E908)),D908*E908,"")</f>
        <v/>
      </c>
      <c r="G908" s="31" t="n"/>
      <c r="H908" s="32">
        <f>IF(C908="SELL",F908-SUMIFS($F$2:$F$1000,$B$2:$B$1000,B908,$C$2:$C$1000,"&lt;&gt;SELL",$A$2:$A$1000,"&gt;"&amp;_xlfn.MAXIFS($A$2:$A$1000,$B$2:$B$1000,B908,$C$2:$C$1000,"SELL",$A$2:$A$1000,"&lt;"&amp;A908),$A$2:$A$1000,"&lt;="&amp;A908),"")</f>
        <v/>
      </c>
    </row>
    <row r="909">
      <c r="A909" s="29" t="n"/>
      <c r="B909" s="30" t="n"/>
      <c r="C909" s="30" t="n"/>
      <c r="D909" s="31" t="n"/>
      <c r="E909" s="30" t="n"/>
      <c r="F909" s="32">
        <f>IF(AND(ISNUMBER(D909),ISNUMBER(E909)),D909*E909,"")</f>
        <v/>
      </c>
      <c r="G909" s="31" t="n"/>
      <c r="H909" s="32">
        <f>IF(C909="SELL",F909-SUMIFS($F$2:$F$1000,$B$2:$B$1000,B909,$C$2:$C$1000,"&lt;&gt;SELL",$A$2:$A$1000,"&gt;"&amp;_xlfn.MAXIFS($A$2:$A$1000,$B$2:$B$1000,B909,$C$2:$C$1000,"SELL",$A$2:$A$1000,"&lt;"&amp;A909),$A$2:$A$1000,"&lt;="&amp;A909),"")</f>
        <v/>
      </c>
    </row>
    <row r="910">
      <c r="A910" s="29" t="n"/>
      <c r="B910" s="30" t="n"/>
      <c r="C910" s="30" t="n"/>
      <c r="D910" s="31" t="n"/>
      <c r="E910" s="30" t="n"/>
      <c r="F910" s="32">
        <f>IF(AND(ISNUMBER(D910),ISNUMBER(E910)),D910*E910,"")</f>
        <v/>
      </c>
      <c r="G910" s="31" t="n"/>
      <c r="H910" s="32">
        <f>IF(C910="SELL",F910-SUMIFS($F$2:$F$1000,$B$2:$B$1000,B910,$C$2:$C$1000,"&lt;&gt;SELL",$A$2:$A$1000,"&gt;"&amp;_xlfn.MAXIFS($A$2:$A$1000,$B$2:$B$1000,B910,$C$2:$C$1000,"SELL",$A$2:$A$1000,"&lt;"&amp;A910),$A$2:$A$1000,"&lt;="&amp;A910),"")</f>
        <v/>
      </c>
    </row>
    <row r="911">
      <c r="A911" s="29" t="n"/>
      <c r="B911" s="30" t="n"/>
      <c r="C911" s="30" t="n"/>
      <c r="D911" s="31" t="n"/>
      <c r="E911" s="30" t="n"/>
      <c r="F911" s="32">
        <f>IF(AND(ISNUMBER(D911),ISNUMBER(E911)),D911*E911,"")</f>
        <v/>
      </c>
      <c r="G911" s="31" t="n"/>
      <c r="H911" s="32">
        <f>IF(C911="SELL",F911-SUMIFS($F$2:$F$1000,$B$2:$B$1000,B911,$C$2:$C$1000,"&lt;&gt;SELL",$A$2:$A$1000,"&gt;"&amp;_xlfn.MAXIFS($A$2:$A$1000,$B$2:$B$1000,B911,$C$2:$C$1000,"SELL",$A$2:$A$1000,"&lt;"&amp;A911),$A$2:$A$1000,"&lt;="&amp;A911),"")</f>
        <v/>
      </c>
    </row>
    <row r="912">
      <c r="A912" s="29" t="n"/>
      <c r="B912" s="30" t="n"/>
      <c r="C912" s="30" t="n"/>
      <c r="D912" s="31" t="n"/>
      <c r="E912" s="30" t="n"/>
      <c r="F912" s="32">
        <f>IF(AND(ISNUMBER(D912),ISNUMBER(E912)),D912*E912,"")</f>
        <v/>
      </c>
      <c r="G912" s="31" t="n"/>
      <c r="H912" s="32">
        <f>IF(C912="SELL",F912-SUMIFS($F$2:$F$1000,$B$2:$B$1000,B912,$C$2:$C$1000,"&lt;&gt;SELL",$A$2:$A$1000,"&gt;"&amp;_xlfn.MAXIFS($A$2:$A$1000,$B$2:$B$1000,B912,$C$2:$C$1000,"SELL",$A$2:$A$1000,"&lt;"&amp;A912),$A$2:$A$1000,"&lt;="&amp;A912),"")</f>
        <v/>
      </c>
    </row>
    <row r="913">
      <c r="A913" s="29" t="n"/>
      <c r="B913" s="30" t="n"/>
      <c r="C913" s="30" t="n"/>
      <c r="D913" s="31" t="n"/>
      <c r="E913" s="30" t="n"/>
      <c r="F913" s="32">
        <f>IF(AND(ISNUMBER(D913),ISNUMBER(E913)),D913*E913,"")</f>
        <v/>
      </c>
      <c r="G913" s="31" t="n"/>
      <c r="H913" s="32">
        <f>IF(C913="SELL",F913-SUMIFS($F$2:$F$1000,$B$2:$B$1000,B913,$C$2:$C$1000,"&lt;&gt;SELL",$A$2:$A$1000,"&gt;"&amp;_xlfn.MAXIFS($A$2:$A$1000,$B$2:$B$1000,B913,$C$2:$C$1000,"SELL",$A$2:$A$1000,"&lt;"&amp;A913),$A$2:$A$1000,"&lt;="&amp;A913),"")</f>
        <v/>
      </c>
    </row>
    <row r="914">
      <c r="A914" s="29" t="n"/>
      <c r="B914" s="30" t="n"/>
      <c r="C914" s="30" t="n"/>
      <c r="D914" s="31" t="n"/>
      <c r="E914" s="30" t="n"/>
      <c r="F914" s="32">
        <f>IF(AND(ISNUMBER(D914),ISNUMBER(E914)),D914*E914,"")</f>
        <v/>
      </c>
      <c r="G914" s="31" t="n"/>
      <c r="H914" s="32">
        <f>IF(C914="SELL",F914-SUMIFS($F$2:$F$1000,$B$2:$B$1000,B914,$C$2:$C$1000,"&lt;&gt;SELL",$A$2:$A$1000,"&gt;"&amp;_xlfn.MAXIFS($A$2:$A$1000,$B$2:$B$1000,B914,$C$2:$C$1000,"SELL",$A$2:$A$1000,"&lt;"&amp;A914),$A$2:$A$1000,"&lt;="&amp;A914),"")</f>
        <v/>
      </c>
    </row>
    <row r="915">
      <c r="A915" s="29" t="n"/>
      <c r="B915" s="30" t="n"/>
      <c r="C915" s="30" t="n"/>
      <c r="D915" s="31" t="n"/>
      <c r="E915" s="30" t="n"/>
      <c r="F915" s="32">
        <f>IF(AND(ISNUMBER(D915),ISNUMBER(E915)),D915*E915,"")</f>
        <v/>
      </c>
      <c r="G915" s="31" t="n"/>
      <c r="H915" s="32">
        <f>IF(C915="SELL",F915-SUMIFS($F$2:$F$1000,$B$2:$B$1000,B915,$C$2:$C$1000,"&lt;&gt;SELL",$A$2:$A$1000,"&gt;"&amp;_xlfn.MAXIFS($A$2:$A$1000,$B$2:$B$1000,B915,$C$2:$C$1000,"SELL",$A$2:$A$1000,"&lt;"&amp;A915),$A$2:$A$1000,"&lt;="&amp;A915),"")</f>
        <v/>
      </c>
    </row>
    <row r="916">
      <c r="A916" s="29" t="n"/>
      <c r="B916" s="30" t="n"/>
      <c r="C916" s="30" t="n"/>
      <c r="D916" s="31" t="n"/>
      <c r="E916" s="30" t="n"/>
      <c r="F916" s="32">
        <f>IF(AND(ISNUMBER(D916),ISNUMBER(E916)),D916*E916,"")</f>
        <v/>
      </c>
      <c r="G916" s="31" t="n"/>
      <c r="H916" s="32">
        <f>IF(C916="SELL",F916-SUMIFS($F$2:$F$1000,$B$2:$B$1000,B916,$C$2:$C$1000,"&lt;&gt;SELL",$A$2:$A$1000,"&gt;"&amp;_xlfn.MAXIFS($A$2:$A$1000,$B$2:$B$1000,B916,$C$2:$C$1000,"SELL",$A$2:$A$1000,"&lt;"&amp;A916),$A$2:$A$1000,"&lt;="&amp;A916),"")</f>
        <v/>
      </c>
    </row>
    <row r="917">
      <c r="A917" s="29" t="n"/>
      <c r="B917" s="30" t="n"/>
      <c r="C917" s="30" t="n"/>
      <c r="D917" s="31" t="n"/>
      <c r="E917" s="30" t="n"/>
      <c r="F917" s="32">
        <f>IF(AND(ISNUMBER(D917),ISNUMBER(E917)),D917*E917,"")</f>
        <v/>
      </c>
      <c r="G917" s="31" t="n"/>
      <c r="H917" s="32">
        <f>IF(C917="SELL",F917-SUMIFS($F$2:$F$1000,$B$2:$B$1000,B917,$C$2:$C$1000,"&lt;&gt;SELL",$A$2:$A$1000,"&gt;"&amp;_xlfn.MAXIFS($A$2:$A$1000,$B$2:$B$1000,B917,$C$2:$C$1000,"SELL",$A$2:$A$1000,"&lt;"&amp;A917),$A$2:$A$1000,"&lt;="&amp;A917),"")</f>
        <v/>
      </c>
    </row>
    <row r="918">
      <c r="A918" s="29" t="n"/>
      <c r="B918" s="30" t="n"/>
      <c r="C918" s="30" t="n"/>
      <c r="D918" s="31" t="n"/>
      <c r="E918" s="30" t="n"/>
      <c r="F918" s="32">
        <f>IF(AND(ISNUMBER(D918),ISNUMBER(E918)),D918*E918,"")</f>
        <v/>
      </c>
      <c r="G918" s="31" t="n"/>
      <c r="H918" s="32">
        <f>IF(C918="SELL",F918-SUMIFS($F$2:$F$1000,$B$2:$B$1000,B918,$C$2:$C$1000,"&lt;&gt;SELL",$A$2:$A$1000,"&gt;"&amp;_xlfn.MAXIFS($A$2:$A$1000,$B$2:$B$1000,B918,$C$2:$C$1000,"SELL",$A$2:$A$1000,"&lt;"&amp;A918),$A$2:$A$1000,"&lt;="&amp;A918),"")</f>
        <v/>
      </c>
    </row>
    <row r="919">
      <c r="A919" s="29" t="n"/>
      <c r="B919" s="30" t="n"/>
      <c r="C919" s="30" t="n"/>
      <c r="D919" s="31" t="n"/>
      <c r="E919" s="30" t="n"/>
      <c r="F919" s="32">
        <f>IF(AND(ISNUMBER(D919),ISNUMBER(E919)),D919*E919,"")</f>
        <v/>
      </c>
      <c r="G919" s="31" t="n"/>
      <c r="H919" s="32">
        <f>IF(C919="SELL",F919-SUMIFS($F$2:$F$1000,$B$2:$B$1000,B919,$C$2:$C$1000,"&lt;&gt;SELL",$A$2:$A$1000,"&gt;"&amp;_xlfn.MAXIFS($A$2:$A$1000,$B$2:$B$1000,B919,$C$2:$C$1000,"SELL",$A$2:$A$1000,"&lt;"&amp;A919),$A$2:$A$1000,"&lt;="&amp;A919),"")</f>
        <v/>
      </c>
    </row>
    <row r="920">
      <c r="A920" s="29" t="n"/>
      <c r="B920" s="30" t="n"/>
      <c r="C920" s="30" t="n"/>
      <c r="D920" s="31" t="n"/>
      <c r="E920" s="30" t="n"/>
      <c r="F920" s="32">
        <f>IF(AND(ISNUMBER(D920),ISNUMBER(E920)),D920*E920,"")</f>
        <v/>
      </c>
      <c r="G920" s="31" t="n"/>
      <c r="H920" s="32">
        <f>IF(C920="SELL",F920-SUMIFS($F$2:$F$1000,$B$2:$B$1000,B920,$C$2:$C$1000,"&lt;&gt;SELL",$A$2:$A$1000,"&gt;"&amp;_xlfn.MAXIFS($A$2:$A$1000,$B$2:$B$1000,B920,$C$2:$C$1000,"SELL",$A$2:$A$1000,"&lt;"&amp;A920),$A$2:$A$1000,"&lt;="&amp;A920),"")</f>
        <v/>
      </c>
    </row>
    <row r="921">
      <c r="A921" s="29" t="n"/>
      <c r="B921" s="30" t="n"/>
      <c r="C921" s="30" t="n"/>
      <c r="D921" s="31" t="n"/>
      <c r="E921" s="30" t="n"/>
      <c r="F921" s="32">
        <f>IF(AND(ISNUMBER(D921),ISNUMBER(E921)),D921*E921,"")</f>
        <v/>
      </c>
      <c r="G921" s="31" t="n"/>
      <c r="H921" s="32">
        <f>IF(C921="SELL",F921-SUMIFS($F$2:$F$1000,$B$2:$B$1000,B921,$C$2:$C$1000,"&lt;&gt;SELL",$A$2:$A$1000,"&gt;"&amp;_xlfn.MAXIFS($A$2:$A$1000,$B$2:$B$1000,B921,$C$2:$C$1000,"SELL",$A$2:$A$1000,"&lt;"&amp;A921),$A$2:$A$1000,"&lt;="&amp;A921),"")</f>
        <v/>
      </c>
    </row>
    <row r="922">
      <c r="A922" s="29" t="n"/>
      <c r="B922" s="30" t="n"/>
      <c r="C922" s="30" t="n"/>
      <c r="D922" s="31" t="n"/>
      <c r="E922" s="30" t="n"/>
      <c r="F922" s="32">
        <f>IF(AND(ISNUMBER(D922),ISNUMBER(E922)),D922*E922,"")</f>
        <v/>
      </c>
      <c r="G922" s="31" t="n"/>
      <c r="H922" s="32">
        <f>IF(C922="SELL",F922-SUMIFS($F$2:$F$1000,$B$2:$B$1000,B922,$C$2:$C$1000,"&lt;&gt;SELL",$A$2:$A$1000,"&gt;"&amp;_xlfn.MAXIFS($A$2:$A$1000,$B$2:$B$1000,B922,$C$2:$C$1000,"SELL",$A$2:$A$1000,"&lt;"&amp;A922),$A$2:$A$1000,"&lt;="&amp;A922),"")</f>
        <v/>
      </c>
    </row>
    <row r="923">
      <c r="A923" s="29" t="n"/>
      <c r="B923" s="30" t="n"/>
      <c r="C923" s="30" t="n"/>
      <c r="D923" s="31" t="n"/>
      <c r="E923" s="30" t="n"/>
      <c r="F923" s="32">
        <f>IF(AND(ISNUMBER(D923),ISNUMBER(E923)),D923*E923,"")</f>
        <v/>
      </c>
      <c r="G923" s="31" t="n"/>
      <c r="H923" s="32">
        <f>IF(C923="SELL",F923-SUMIFS($F$2:$F$1000,$B$2:$B$1000,B923,$C$2:$C$1000,"&lt;&gt;SELL",$A$2:$A$1000,"&gt;"&amp;_xlfn.MAXIFS($A$2:$A$1000,$B$2:$B$1000,B923,$C$2:$C$1000,"SELL",$A$2:$A$1000,"&lt;"&amp;A923),$A$2:$A$1000,"&lt;="&amp;A923),"")</f>
        <v/>
      </c>
    </row>
    <row r="924">
      <c r="A924" s="29" t="n"/>
      <c r="B924" s="30" t="n"/>
      <c r="C924" s="30" t="n"/>
      <c r="D924" s="31" t="n"/>
      <c r="E924" s="30" t="n"/>
      <c r="F924" s="32">
        <f>IF(AND(ISNUMBER(D924),ISNUMBER(E924)),D924*E924,"")</f>
        <v/>
      </c>
      <c r="G924" s="31" t="n"/>
      <c r="H924" s="32">
        <f>IF(C924="SELL",F924-SUMIFS($F$2:$F$1000,$B$2:$B$1000,B924,$C$2:$C$1000,"&lt;&gt;SELL",$A$2:$A$1000,"&gt;"&amp;_xlfn.MAXIFS($A$2:$A$1000,$B$2:$B$1000,B924,$C$2:$C$1000,"SELL",$A$2:$A$1000,"&lt;"&amp;A924),$A$2:$A$1000,"&lt;="&amp;A924),"")</f>
        <v/>
      </c>
    </row>
    <row r="925">
      <c r="A925" s="29" t="n"/>
      <c r="B925" s="30" t="n"/>
      <c r="C925" s="30" t="n"/>
      <c r="D925" s="31" t="n"/>
      <c r="E925" s="30" t="n"/>
      <c r="F925" s="32">
        <f>IF(AND(ISNUMBER(D925),ISNUMBER(E925)),D925*E925,"")</f>
        <v/>
      </c>
      <c r="G925" s="31" t="n"/>
      <c r="H925" s="32">
        <f>IF(C925="SELL",F925-SUMIFS($F$2:$F$1000,$B$2:$B$1000,B925,$C$2:$C$1000,"&lt;&gt;SELL",$A$2:$A$1000,"&gt;"&amp;_xlfn.MAXIFS($A$2:$A$1000,$B$2:$B$1000,B925,$C$2:$C$1000,"SELL",$A$2:$A$1000,"&lt;"&amp;A925),$A$2:$A$1000,"&lt;="&amp;A925),"")</f>
        <v/>
      </c>
    </row>
    <row r="926">
      <c r="A926" s="29" t="n"/>
      <c r="B926" s="30" t="n"/>
      <c r="C926" s="30" t="n"/>
      <c r="D926" s="31" t="n"/>
      <c r="E926" s="30" t="n"/>
      <c r="F926" s="32">
        <f>IF(AND(ISNUMBER(D926),ISNUMBER(E926)),D926*E926,"")</f>
        <v/>
      </c>
      <c r="G926" s="31" t="n"/>
      <c r="H926" s="32">
        <f>IF(C926="SELL",F926-SUMIFS($F$2:$F$1000,$B$2:$B$1000,B926,$C$2:$C$1000,"&lt;&gt;SELL",$A$2:$A$1000,"&gt;"&amp;_xlfn.MAXIFS($A$2:$A$1000,$B$2:$B$1000,B926,$C$2:$C$1000,"SELL",$A$2:$A$1000,"&lt;"&amp;A926),$A$2:$A$1000,"&lt;="&amp;A926),"")</f>
        <v/>
      </c>
    </row>
    <row r="927">
      <c r="A927" s="29" t="n"/>
      <c r="B927" s="30" t="n"/>
      <c r="C927" s="30" t="n"/>
      <c r="D927" s="31" t="n"/>
      <c r="E927" s="30" t="n"/>
      <c r="F927" s="32">
        <f>IF(AND(ISNUMBER(D927),ISNUMBER(E927)),D927*E927,"")</f>
        <v/>
      </c>
      <c r="G927" s="31" t="n"/>
      <c r="H927" s="32">
        <f>IF(C927="SELL",F927-SUMIFS($F$2:$F$1000,$B$2:$B$1000,B927,$C$2:$C$1000,"&lt;&gt;SELL",$A$2:$A$1000,"&gt;"&amp;_xlfn.MAXIFS($A$2:$A$1000,$B$2:$B$1000,B927,$C$2:$C$1000,"SELL",$A$2:$A$1000,"&lt;"&amp;A927),$A$2:$A$1000,"&lt;="&amp;A927),"")</f>
        <v/>
      </c>
    </row>
    <row r="928">
      <c r="A928" s="29" t="n"/>
      <c r="B928" s="30" t="n"/>
      <c r="C928" s="30" t="n"/>
      <c r="D928" s="31" t="n"/>
      <c r="E928" s="30" t="n"/>
      <c r="F928" s="32">
        <f>IF(AND(ISNUMBER(D928),ISNUMBER(E928)),D928*E928,"")</f>
        <v/>
      </c>
      <c r="G928" s="31" t="n"/>
      <c r="H928" s="32">
        <f>IF(C928="SELL",F928-SUMIFS($F$2:$F$1000,$B$2:$B$1000,B928,$C$2:$C$1000,"&lt;&gt;SELL",$A$2:$A$1000,"&gt;"&amp;_xlfn.MAXIFS($A$2:$A$1000,$B$2:$B$1000,B928,$C$2:$C$1000,"SELL",$A$2:$A$1000,"&lt;"&amp;A928),$A$2:$A$1000,"&lt;="&amp;A928),"")</f>
        <v/>
      </c>
    </row>
    <row r="929">
      <c r="A929" s="29" t="n"/>
      <c r="B929" s="30" t="n"/>
      <c r="C929" s="30" t="n"/>
      <c r="D929" s="31" t="n"/>
      <c r="E929" s="30" t="n"/>
      <c r="F929" s="32">
        <f>IF(AND(ISNUMBER(D929),ISNUMBER(E929)),D929*E929,"")</f>
        <v/>
      </c>
      <c r="G929" s="31" t="n"/>
      <c r="H929" s="32">
        <f>IF(C929="SELL",F929-SUMIFS($F$2:$F$1000,$B$2:$B$1000,B929,$C$2:$C$1000,"&lt;&gt;SELL",$A$2:$A$1000,"&gt;"&amp;_xlfn.MAXIFS($A$2:$A$1000,$B$2:$B$1000,B929,$C$2:$C$1000,"SELL",$A$2:$A$1000,"&lt;"&amp;A929),$A$2:$A$1000,"&lt;="&amp;A929),"")</f>
        <v/>
      </c>
    </row>
    <row r="930">
      <c r="A930" s="29" t="n"/>
      <c r="B930" s="30" t="n"/>
      <c r="C930" s="30" t="n"/>
      <c r="D930" s="31" t="n"/>
      <c r="E930" s="30" t="n"/>
      <c r="F930" s="32">
        <f>IF(AND(ISNUMBER(D930),ISNUMBER(E930)),D930*E930,"")</f>
        <v/>
      </c>
      <c r="G930" s="31" t="n"/>
      <c r="H930" s="32">
        <f>IF(C930="SELL",F930-SUMIFS($F$2:$F$1000,$B$2:$B$1000,B930,$C$2:$C$1000,"&lt;&gt;SELL",$A$2:$A$1000,"&gt;"&amp;_xlfn.MAXIFS($A$2:$A$1000,$B$2:$B$1000,B930,$C$2:$C$1000,"SELL",$A$2:$A$1000,"&lt;"&amp;A930),$A$2:$A$1000,"&lt;="&amp;A930),"")</f>
        <v/>
      </c>
    </row>
    <row r="931">
      <c r="A931" s="29" t="n"/>
      <c r="B931" s="30" t="n"/>
      <c r="C931" s="30" t="n"/>
      <c r="D931" s="31" t="n"/>
      <c r="E931" s="30" t="n"/>
      <c r="F931" s="32">
        <f>IF(AND(ISNUMBER(D931),ISNUMBER(E931)),D931*E931,"")</f>
        <v/>
      </c>
      <c r="G931" s="31" t="n"/>
      <c r="H931" s="32">
        <f>IF(C931="SELL",F931-SUMIFS($F$2:$F$1000,$B$2:$B$1000,B931,$C$2:$C$1000,"&lt;&gt;SELL",$A$2:$A$1000,"&gt;"&amp;_xlfn.MAXIFS($A$2:$A$1000,$B$2:$B$1000,B931,$C$2:$C$1000,"SELL",$A$2:$A$1000,"&lt;"&amp;A931),$A$2:$A$1000,"&lt;="&amp;A931),"")</f>
        <v/>
      </c>
    </row>
    <row r="932">
      <c r="A932" s="29" t="n"/>
      <c r="B932" s="30" t="n"/>
      <c r="C932" s="30" t="n"/>
      <c r="D932" s="31" t="n"/>
      <c r="E932" s="30" t="n"/>
      <c r="F932" s="32">
        <f>IF(AND(ISNUMBER(D932),ISNUMBER(E932)),D932*E932,"")</f>
        <v/>
      </c>
      <c r="G932" s="31" t="n"/>
      <c r="H932" s="32">
        <f>IF(C932="SELL",F932-SUMIFS($F$2:$F$1000,$B$2:$B$1000,B932,$C$2:$C$1000,"&lt;&gt;SELL",$A$2:$A$1000,"&gt;"&amp;_xlfn.MAXIFS($A$2:$A$1000,$B$2:$B$1000,B932,$C$2:$C$1000,"SELL",$A$2:$A$1000,"&lt;"&amp;A932),$A$2:$A$1000,"&lt;="&amp;A932),"")</f>
        <v/>
      </c>
    </row>
    <row r="933">
      <c r="A933" s="29" t="n"/>
      <c r="B933" s="30" t="n"/>
      <c r="C933" s="30" t="n"/>
      <c r="D933" s="31" t="n"/>
      <c r="E933" s="30" t="n"/>
      <c r="F933" s="32">
        <f>IF(AND(ISNUMBER(D933),ISNUMBER(E933)),D933*E933,"")</f>
        <v/>
      </c>
      <c r="G933" s="31" t="n"/>
      <c r="H933" s="32">
        <f>IF(C933="SELL",F933-SUMIFS($F$2:$F$1000,$B$2:$B$1000,B933,$C$2:$C$1000,"&lt;&gt;SELL",$A$2:$A$1000,"&gt;"&amp;_xlfn.MAXIFS($A$2:$A$1000,$B$2:$B$1000,B933,$C$2:$C$1000,"SELL",$A$2:$A$1000,"&lt;"&amp;A933),$A$2:$A$1000,"&lt;="&amp;A933),"")</f>
        <v/>
      </c>
    </row>
    <row r="934">
      <c r="A934" s="29" t="n"/>
      <c r="B934" s="30" t="n"/>
      <c r="C934" s="30" t="n"/>
      <c r="D934" s="31" t="n"/>
      <c r="E934" s="30" t="n"/>
      <c r="F934" s="32">
        <f>IF(AND(ISNUMBER(D934),ISNUMBER(E934)),D934*E934,"")</f>
        <v/>
      </c>
      <c r="G934" s="31" t="n"/>
      <c r="H934" s="32">
        <f>IF(C934="SELL",F934-SUMIFS($F$2:$F$1000,$B$2:$B$1000,B934,$C$2:$C$1000,"&lt;&gt;SELL",$A$2:$A$1000,"&gt;"&amp;_xlfn.MAXIFS($A$2:$A$1000,$B$2:$B$1000,B934,$C$2:$C$1000,"SELL",$A$2:$A$1000,"&lt;"&amp;A934),$A$2:$A$1000,"&lt;="&amp;A934),"")</f>
        <v/>
      </c>
    </row>
    <row r="935">
      <c r="A935" s="29" t="n"/>
      <c r="B935" s="30" t="n"/>
      <c r="C935" s="30" t="n"/>
      <c r="D935" s="31" t="n"/>
      <c r="E935" s="30" t="n"/>
      <c r="F935" s="32">
        <f>IF(AND(ISNUMBER(D935),ISNUMBER(E935)),D935*E935,"")</f>
        <v/>
      </c>
      <c r="G935" s="31" t="n"/>
      <c r="H935" s="32">
        <f>IF(C935="SELL",F935-SUMIFS($F$2:$F$1000,$B$2:$B$1000,B935,$C$2:$C$1000,"&lt;&gt;SELL",$A$2:$A$1000,"&gt;"&amp;_xlfn.MAXIFS($A$2:$A$1000,$B$2:$B$1000,B935,$C$2:$C$1000,"SELL",$A$2:$A$1000,"&lt;"&amp;A935),$A$2:$A$1000,"&lt;="&amp;A935),"")</f>
        <v/>
      </c>
    </row>
    <row r="936">
      <c r="A936" s="29" t="n"/>
      <c r="B936" s="30" t="n"/>
      <c r="C936" s="30" t="n"/>
      <c r="D936" s="31" t="n"/>
      <c r="E936" s="30" t="n"/>
      <c r="F936" s="32">
        <f>IF(AND(ISNUMBER(D936),ISNUMBER(E936)),D936*E936,"")</f>
        <v/>
      </c>
      <c r="G936" s="31" t="n"/>
      <c r="H936" s="32">
        <f>IF(C936="SELL",F936-SUMIFS($F$2:$F$1000,$B$2:$B$1000,B936,$C$2:$C$1000,"&lt;&gt;SELL",$A$2:$A$1000,"&gt;"&amp;_xlfn.MAXIFS($A$2:$A$1000,$B$2:$B$1000,B936,$C$2:$C$1000,"SELL",$A$2:$A$1000,"&lt;"&amp;A936),$A$2:$A$1000,"&lt;="&amp;A936),"")</f>
        <v/>
      </c>
    </row>
    <row r="937">
      <c r="A937" s="29" t="n"/>
      <c r="B937" s="30" t="n"/>
      <c r="C937" s="30" t="n"/>
      <c r="D937" s="31" t="n"/>
      <c r="E937" s="30" t="n"/>
      <c r="F937" s="32">
        <f>IF(AND(ISNUMBER(D937),ISNUMBER(E937)),D937*E937,"")</f>
        <v/>
      </c>
      <c r="G937" s="31" t="n"/>
      <c r="H937" s="32">
        <f>IF(C937="SELL",F937-SUMIFS($F$2:$F$1000,$B$2:$B$1000,B937,$C$2:$C$1000,"&lt;&gt;SELL",$A$2:$A$1000,"&gt;"&amp;_xlfn.MAXIFS($A$2:$A$1000,$B$2:$B$1000,B937,$C$2:$C$1000,"SELL",$A$2:$A$1000,"&lt;"&amp;A937),$A$2:$A$1000,"&lt;="&amp;A937),"")</f>
        <v/>
      </c>
    </row>
    <row r="938">
      <c r="A938" s="29" t="n"/>
      <c r="B938" s="30" t="n"/>
      <c r="C938" s="30" t="n"/>
      <c r="D938" s="31" t="n"/>
      <c r="E938" s="30" t="n"/>
      <c r="F938" s="32">
        <f>IF(AND(ISNUMBER(D938),ISNUMBER(E938)),D938*E938,"")</f>
        <v/>
      </c>
      <c r="G938" s="31" t="n"/>
      <c r="H938" s="32">
        <f>IF(C938="SELL",F938-SUMIFS($F$2:$F$1000,$B$2:$B$1000,B938,$C$2:$C$1000,"&lt;&gt;SELL",$A$2:$A$1000,"&gt;"&amp;_xlfn.MAXIFS($A$2:$A$1000,$B$2:$B$1000,B938,$C$2:$C$1000,"SELL",$A$2:$A$1000,"&lt;"&amp;A938),$A$2:$A$1000,"&lt;="&amp;A938),"")</f>
        <v/>
      </c>
    </row>
    <row r="939">
      <c r="A939" s="29" t="n"/>
      <c r="B939" s="30" t="n"/>
      <c r="C939" s="30" t="n"/>
      <c r="D939" s="31" t="n"/>
      <c r="E939" s="30" t="n"/>
      <c r="F939" s="32">
        <f>IF(AND(ISNUMBER(D939),ISNUMBER(E939)),D939*E939,"")</f>
        <v/>
      </c>
      <c r="G939" s="31" t="n"/>
      <c r="H939" s="32">
        <f>IF(C939="SELL",F939-SUMIFS($F$2:$F$1000,$B$2:$B$1000,B939,$C$2:$C$1000,"&lt;&gt;SELL",$A$2:$A$1000,"&gt;"&amp;_xlfn.MAXIFS($A$2:$A$1000,$B$2:$B$1000,B939,$C$2:$C$1000,"SELL",$A$2:$A$1000,"&lt;"&amp;A939),$A$2:$A$1000,"&lt;="&amp;A939),"")</f>
        <v/>
      </c>
    </row>
    <row r="940">
      <c r="A940" s="29" t="n"/>
      <c r="B940" s="30" t="n"/>
      <c r="C940" s="30" t="n"/>
      <c r="D940" s="31" t="n"/>
      <c r="E940" s="30" t="n"/>
      <c r="F940" s="32">
        <f>IF(AND(ISNUMBER(D940),ISNUMBER(E940)),D940*E940,"")</f>
        <v/>
      </c>
      <c r="G940" s="31" t="n"/>
      <c r="H940" s="32">
        <f>IF(C940="SELL",F940-SUMIFS($F$2:$F$1000,$B$2:$B$1000,B940,$C$2:$C$1000,"&lt;&gt;SELL",$A$2:$A$1000,"&gt;"&amp;_xlfn.MAXIFS($A$2:$A$1000,$B$2:$B$1000,B940,$C$2:$C$1000,"SELL",$A$2:$A$1000,"&lt;"&amp;A940),$A$2:$A$1000,"&lt;="&amp;A940),"")</f>
        <v/>
      </c>
    </row>
    <row r="941">
      <c r="A941" s="29" t="n"/>
      <c r="B941" s="30" t="n"/>
      <c r="C941" s="30" t="n"/>
      <c r="D941" s="31" t="n"/>
      <c r="E941" s="30" t="n"/>
      <c r="F941" s="32">
        <f>IF(AND(ISNUMBER(D941),ISNUMBER(E941)),D941*E941,"")</f>
        <v/>
      </c>
      <c r="G941" s="31" t="n"/>
      <c r="H941" s="32">
        <f>IF(C941="SELL",F941-SUMIFS($F$2:$F$1000,$B$2:$B$1000,B941,$C$2:$C$1000,"&lt;&gt;SELL",$A$2:$A$1000,"&gt;"&amp;_xlfn.MAXIFS($A$2:$A$1000,$B$2:$B$1000,B941,$C$2:$C$1000,"SELL",$A$2:$A$1000,"&lt;"&amp;A941),$A$2:$A$1000,"&lt;="&amp;A941),"")</f>
        <v/>
      </c>
    </row>
    <row r="942">
      <c r="A942" s="29" t="n"/>
      <c r="B942" s="30" t="n"/>
      <c r="C942" s="30" t="n"/>
      <c r="D942" s="31" t="n"/>
      <c r="E942" s="30" t="n"/>
      <c r="F942" s="32">
        <f>IF(AND(ISNUMBER(D942),ISNUMBER(E942)),D942*E942,"")</f>
        <v/>
      </c>
      <c r="G942" s="31" t="n"/>
      <c r="H942" s="32">
        <f>IF(C942="SELL",F942-SUMIFS($F$2:$F$1000,$B$2:$B$1000,B942,$C$2:$C$1000,"&lt;&gt;SELL",$A$2:$A$1000,"&gt;"&amp;_xlfn.MAXIFS($A$2:$A$1000,$B$2:$B$1000,B942,$C$2:$C$1000,"SELL",$A$2:$A$1000,"&lt;"&amp;A942),$A$2:$A$1000,"&lt;="&amp;A942),"")</f>
        <v/>
      </c>
    </row>
    <row r="943">
      <c r="A943" s="29" t="n"/>
      <c r="B943" s="30" t="n"/>
      <c r="C943" s="30" t="n"/>
      <c r="D943" s="31" t="n"/>
      <c r="E943" s="30" t="n"/>
      <c r="F943" s="32">
        <f>IF(AND(ISNUMBER(D943),ISNUMBER(E943)),D943*E943,"")</f>
        <v/>
      </c>
      <c r="G943" s="31" t="n"/>
      <c r="H943" s="32">
        <f>IF(C943="SELL",F943-SUMIFS($F$2:$F$1000,$B$2:$B$1000,B943,$C$2:$C$1000,"&lt;&gt;SELL",$A$2:$A$1000,"&gt;"&amp;_xlfn.MAXIFS($A$2:$A$1000,$B$2:$B$1000,B943,$C$2:$C$1000,"SELL",$A$2:$A$1000,"&lt;"&amp;A943),$A$2:$A$1000,"&lt;="&amp;A943),"")</f>
        <v/>
      </c>
    </row>
    <row r="944">
      <c r="A944" s="29" t="n"/>
      <c r="B944" s="30" t="n"/>
      <c r="C944" s="30" t="n"/>
      <c r="D944" s="31" t="n"/>
      <c r="E944" s="30" t="n"/>
      <c r="F944" s="32">
        <f>IF(AND(ISNUMBER(D944),ISNUMBER(E944)),D944*E944,"")</f>
        <v/>
      </c>
      <c r="G944" s="31" t="n"/>
      <c r="H944" s="32">
        <f>IF(C944="SELL",F944-SUMIFS($F$2:$F$1000,$B$2:$B$1000,B944,$C$2:$C$1000,"&lt;&gt;SELL",$A$2:$A$1000,"&gt;"&amp;_xlfn.MAXIFS($A$2:$A$1000,$B$2:$B$1000,B944,$C$2:$C$1000,"SELL",$A$2:$A$1000,"&lt;"&amp;A944),$A$2:$A$1000,"&lt;="&amp;A944),"")</f>
        <v/>
      </c>
    </row>
    <row r="945">
      <c r="A945" s="29" t="n"/>
      <c r="B945" s="30" t="n"/>
      <c r="C945" s="30" t="n"/>
      <c r="D945" s="31" t="n"/>
      <c r="E945" s="30" t="n"/>
      <c r="F945" s="32">
        <f>IF(AND(ISNUMBER(D945),ISNUMBER(E945)),D945*E945,"")</f>
        <v/>
      </c>
      <c r="G945" s="31" t="n"/>
      <c r="H945" s="32">
        <f>IF(C945="SELL",F945-SUMIFS($F$2:$F$1000,$B$2:$B$1000,B945,$C$2:$C$1000,"&lt;&gt;SELL",$A$2:$A$1000,"&gt;"&amp;_xlfn.MAXIFS($A$2:$A$1000,$B$2:$B$1000,B945,$C$2:$C$1000,"SELL",$A$2:$A$1000,"&lt;"&amp;A945),$A$2:$A$1000,"&lt;="&amp;A945),"")</f>
        <v/>
      </c>
    </row>
    <row r="946">
      <c r="A946" s="29" t="n"/>
      <c r="B946" s="30" t="n"/>
      <c r="C946" s="30" t="n"/>
      <c r="D946" s="31" t="n"/>
      <c r="E946" s="30" t="n"/>
      <c r="F946" s="32">
        <f>IF(AND(ISNUMBER(D946),ISNUMBER(E946)),D946*E946,"")</f>
        <v/>
      </c>
      <c r="G946" s="31" t="n"/>
      <c r="H946" s="32">
        <f>IF(C946="SELL",F946-SUMIFS($F$2:$F$1000,$B$2:$B$1000,B946,$C$2:$C$1000,"&lt;&gt;SELL",$A$2:$A$1000,"&gt;"&amp;_xlfn.MAXIFS($A$2:$A$1000,$B$2:$B$1000,B946,$C$2:$C$1000,"SELL",$A$2:$A$1000,"&lt;"&amp;A946),$A$2:$A$1000,"&lt;="&amp;A946),"")</f>
        <v/>
      </c>
    </row>
    <row r="947">
      <c r="A947" s="29" t="n"/>
      <c r="B947" s="30" t="n"/>
      <c r="C947" s="30" t="n"/>
      <c r="D947" s="31" t="n"/>
      <c r="E947" s="30" t="n"/>
      <c r="F947" s="32">
        <f>IF(AND(ISNUMBER(D947),ISNUMBER(E947)),D947*E947,"")</f>
        <v/>
      </c>
      <c r="G947" s="31" t="n"/>
      <c r="H947" s="32">
        <f>IF(C947="SELL",F947-SUMIFS($F$2:$F$1000,$B$2:$B$1000,B947,$C$2:$C$1000,"&lt;&gt;SELL",$A$2:$A$1000,"&gt;"&amp;_xlfn.MAXIFS($A$2:$A$1000,$B$2:$B$1000,B947,$C$2:$C$1000,"SELL",$A$2:$A$1000,"&lt;"&amp;A947),$A$2:$A$1000,"&lt;="&amp;A947),"")</f>
        <v/>
      </c>
    </row>
    <row r="948">
      <c r="A948" s="29" t="n"/>
      <c r="B948" s="30" t="n"/>
      <c r="C948" s="30" t="n"/>
      <c r="D948" s="31" t="n"/>
      <c r="E948" s="30" t="n"/>
      <c r="F948" s="32">
        <f>IF(AND(ISNUMBER(D948),ISNUMBER(E948)),D948*E948,"")</f>
        <v/>
      </c>
      <c r="G948" s="31" t="n"/>
      <c r="H948" s="32">
        <f>IF(C948="SELL",F948-SUMIFS($F$2:$F$1000,$B$2:$B$1000,B948,$C$2:$C$1000,"&lt;&gt;SELL",$A$2:$A$1000,"&gt;"&amp;_xlfn.MAXIFS($A$2:$A$1000,$B$2:$B$1000,B948,$C$2:$C$1000,"SELL",$A$2:$A$1000,"&lt;"&amp;A948),$A$2:$A$1000,"&lt;="&amp;A948),"")</f>
        <v/>
      </c>
    </row>
    <row r="949">
      <c r="A949" s="29" t="n"/>
      <c r="B949" s="30" t="n"/>
      <c r="C949" s="30" t="n"/>
      <c r="D949" s="31" t="n"/>
      <c r="E949" s="30" t="n"/>
      <c r="F949" s="32">
        <f>IF(AND(ISNUMBER(D949),ISNUMBER(E949)),D949*E949,"")</f>
        <v/>
      </c>
      <c r="G949" s="31" t="n"/>
      <c r="H949" s="32">
        <f>IF(C949="SELL",F949-SUMIFS($F$2:$F$1000,$B$2:$B$1000,B949,$C$2:$C$1000,"&lt;&gt;SELL",$A$2:$A$1000,"&gt;"&amp;_xlfn.MAXIFS($A$2:$A$1000,$B$2:$B$1000,B949,$C$2:$C$1000,"SELL",$A$2:$A$1000,"&lt;"&amp;A949),$A$2:$A$1000,"&lt;="&amp;A949),"")</f>
        <v/>
      </c>
    </row>
    <row r="950">
      <c r="A950" s="29" t="n"/>
      <c r="B950" s="30" t="n"/>
      <c r="C950" s="30" t="n"/>
      <c r="D950" s="31" t="n"/>
      <c r="E950" s="30" t="n"/>
      <c r="F950" s="32">
        <f>IF(AND(ISNUMBER(D950),ISNUMBER(E950)),D950*E950,"")</f>
        <v/>
      </c>
      <c r="G950" s="31" t="n"/>
      <c r="H950" s="32">
        <f>IF(C950="SELL",F950-SUMIFS($F$2:$F$1000,$B$2:$B$1000,B950,$C$2:$C$1000,"&lt;&gt;SELL",$A$2:$A$1000,"&gt;"&amp;_xlfn.MAXIFS($A$2:$A$1000,$B$2:$B$1000,B950,$C$2:$C$1000,"SELL",$A$2:$A$1000,"&lt;"&amp;A950),$A$2:$A$1000,"&lt;="&amp;A950),"")</f>
        <v/>
      </c>
    </row>
    <row r="951">
      <c r="A951" s="29" t="n"/>
      <c r="B951" s="30" t="n"/>
      <c r="C951" s="30" t="n"/>
      <c r="D951" s="31" t="n"/>
      <c r="E951" s="30" t="n"/>
      <c r="F951" s="32">
        <f>IF(AND(ISNUMBER(D951),ISNUMBER(E951)),D951*E951,"")</f>
        <v/>
      </c>
      <c r="G951" s="31" t="n"/>
      <c r="H951" s="32">
        <f>IF(C951="SELL",F951-SUMIFS($F$2:$F$1000,$B$2:$B$1000,B951,$C$2:$C$1000,"&lt;&gt;SELL",$A$2:$A$1000,"&gt;"&amp;_xlfn.MAXIFS($A$2:$A$1000,$B$2:$B$1000,B951,$C$2:$C$1000,"SELL",$A$2:$A$1000,"&lt;"&amp;A951),$A$2:$A$1000,"&lt;="&amp;A951),"")</f>
        <v/>
      </c>
    </row>
    <row r="952">
      <c r="A952" s="29" t="n"/>
      <c r="B952" s="30" t="n"/>
      <c r="C952" s="30" t="n"/>
      <c r="D952" s="31" t="n"/>
      <c r="E952" s="30" t="n"/>
      <c r="F952" s="32">
        <f>IF(AND(ISNUMBER(D952),ISNUMBER(E952)),D952*E952,"")</f>
        <v/>
      </c>
      <c r="G952" s="31" t="n"/>
      <c r="H952" s="32">
        <f>IF(C952="SELL",F952-SUMIFS($F$2:$F$1000,$B$2:$B$1000,B952,$C$2:$C$1000,"&lt;&gt;SELL",$A$2:$A$1000,"&gt;"&amp;_xlfn.MAXIFS($A$2:$A$1000,$B$2:$B$1000,B952,$C$2:$C$1000,"SELL",$A$2:$A$1000,"&lt;"&amp;A952),$A$2:$A$1000,"&lt;="&amp;A952),"")</f>
        <v/>
      </c>
    </row>
    <row r="953">
      <c r="A953" s="29" t="n"/>
      <c r="B953" s="30" t="n"/>
      <c r="C953" s="30" t="n"/>
      <c r="D953" s="31" t="n"/>
      <c r="E953" s="30" t="n"/>
      <c r="F953" s="32">
        <f>IF(AND(ISNUMBER(D953),ISNUMBER(E953)),D953*E953,"")</f>
        <v/>
      </c>
      <c r="G953" s="31" t="n"/>
      <c r="H953" s="32">
        <f>IF(C953="SELL",F953-SUMIFS($F$2:$F$1000,$B$2:$B$1000,B953,$C$2:$C$1000,"&lt;&gt;SELL",$A$2:$A$1000,"&gt;"&amp;_xlfn.MAXIFS($A$2:$A$1000,$B$2:$B$1000,B953,$C$2:$C$1000,"SELL",$A$2:$A$1000,"&lt;"&amp;A953),$A$2:$A$1000,"&lt;="&amp;A953),"")</f>
        <v/>
      </c>
    </row>
    <row r="954">
      <c r="A954" s="29" t="n"/>
      <c r="B954" s="30" t="n"/>
      <c r="C954" s="30" t="n"/>
      <c r="D954" s="31" t="n"/>
      <c r="E954" s="30" t="n"/>
      <c r="F954" s="32">
        <f>IF(AND(ISNUMBER(D954),ISNUMBER(E954)),D954*E954,"")</f>
        <v/>
      </c>
      <c r="G954" s="31" t="n"/>
      <c r="H954" s="32">
        <f>IF(C954="SELL",F954-SUMIFS($F$2:$F$1000,$B$2:$B$1000,B954,$C$2:$C$1000,"&lt;&gt;SELL",$A$2:$A$1000,"&gt;"&amp;_xlfn.MAXIFS($A$2:$A$1000,$B$2:$B$1000,B954,$C$2:$C$1000,"SELL",$A$2:$A$1000,"&lt;"&amp;A954),$A$2:$A$1000,"&lt;="&amp;A954),"")</f>
        <v/>
      </c>
    </row>
    <row r="955">
      <c r="A955" s="29" t="n"/>
      <c r="B955" s="30" t="n"/>
      <c r="C955" s="30" t="n"/>
      <c r="D955" s="31" t="n"/>
      <c r="E955" s="30" t="n"/>
      <c r="F955" s="32">
        <f>IF(AND(ISNUMBER(D955),ISNUMBER(E955)),D955*E955,"")</f>
        <v/>
      </c>
      <c r="G955" s="31" t="n"/>
      <c r="H955" s="32">
        <f>IF(C955="SELL",F955-SUMIFS($F$2:$F$1000,$B$2:$B$1000,B955,$C$2:$C$1000,"&lt;&gt;SELL",$A$2:$A$1000,"&gt;"&amp;_xlfn.MAXIFS($A$2:$A$1000,$B$2:$B$1000,B955,$C$2:$C$1000,"SELL",$A$2:$A$1000,"&lt;"&amp;A955),$A$2:$A$1000,"&lt;="&amp;A955),"")</f>
        <v/>
      </c>
    </row>
    <row r="956">
      <c r="A956" s="29" t="n"/>
      <c r="B956" s="30" t="n"/>
      <c r="C956" s="30" t="n"/>
      <c r="D956" s="31" t="n"/>
      <c r="E956" s="30" t="n"/>
      <c r="F956" s="32">
        <f>IF(AND(ISNUMBER(D956),ISNUMBER(E956)),D956*E956,"")</f>
        <v/>
      </c>
      <c r="G956" s="31" t="n"/>
      <c r="H956" s="32">
        <f>IF(C956="SELL",F956-SUMIFS($F$2:$F$1000,$B$2:$B$1000,B956,$C$2:$C$1000,"&lt;&gt;SELL",$A$2:$A$1000,"&gt;"&amp;_xlfn.MAXIFS($A$2:$A$1000,$B$2:$B$1000,B956,$C$2:$C$1000,"SELL",$A$2:$A$1000,"&lt;"&amp;A956),$A$2:$A$1000,"&lt;="&amp;A956),"")</f>
        <v/>
      </c>
    </row>
    <row r="957">
      <c r="A957" s="29" t="n"/>
      <c r="B957" s="30" t="n"/>
      <c r="C957" s="30" t="n"/>
      <c r="D957" s="31" t="n"/>
      <c r="E957" s="30" t="n"/>
      <c r="F957" s="32">
        <f>IF(AND(ISNUMBER(D957),ISNUMBER(E957)),D957*E957,"")</f>
        <v/>
      </c>
      <c r="G957" s="31" t="n"/>
      <c r="H957" s="32">
        <f>IF(C957="SELL",F957-SUMIFS($F$2:$F$1000,$B$2:$B$1000,B957,$C$2:$C$1000,"&lt;&gt;SELL",$A$2:$A$1000,"&gt;"&amp;_xlfn.MAXIFS($A$2:$A$1000,$B$2:$B$1000,B957,$C$2:$C$1000,"SELL",$A$2:$A$1000,"&lt;"&amp;A957),$A$2:$A$1000,"&lt;="&amp;A957),"")</f>
        <v/>
      </c>
    </row>
    <row r="958">
      <c r="A958" s="29" t="n"/>
      <c r="B958" s="30" t="n"/>
      <c r="C958" s="30" t="n"/>
      <c r="D958" s="31" t="n"/>
      <c r="E958" s="30" t="n"/>
      <c r="F958" s="32">
        <f>IF(AND(ISNUMBER(D958),ISNUMBER(E958)),D958*E958,"")</f>
        <v/>
      </c>
      <c r="G958" s="31" t="n"/>
      <c r="H958" s="32">
        <f>IF(C958="SELL",F958-SUMIFS($F$2:$F$1000,$B$2:$B$1000,B958,$C$2:$C$1000,"&lt;&gt;SELL",$A$2:$A$1000,"&gt;"&amp;_xlfn.MAXIFS($A$2:$A$1000,$B$2:$B$1000,B958,$C$2:$C$1000,"SELL",$A$2:$A$1000,"&lt;"&amp;A958),$A$2:$A$1000,"&lt;="&amp;A958),"")</f>
        <v/>
      </c>
    </row>
    <row r="959">
      <c r="A959" s="29" t="n"/>
      <c r="B959" s="30" t="n"/>
      <c r="C959" s="30" t="n"/>
      <c r="D959" s="31" t="n"/>
      <c r="E959" s="30" t="n"/>
      <c r="F959" s="32">
        <f>IF(AND(ISNUMBER(D959),ISNUMBER(E959)),D959*E959,"")</f>
        <v/>
      </c>
      <c r="G959" s="31" t="n"/>
      <c r="H959" s="32">
        <f>IF(C959="SELL",F959-SUMIFS($F$2:$F$1000,$B$2:$B$1000,B959,$C$2:$C$1000,"&lt;&gt;SELL",$A$2:$A$1000,"&gt;"&amp;_xlfn.MAXIFS($A$2:$A$1000,$B$2:$B$1000,B959,$C$2:$C$1000,"SELL",$A$2:$A$1000,"&lt;"&amp;A959),$A$2:$A$1000,"&lt;="&amp;A959),"")</f>
        <v/>
      </c>
    </row>
    <row r="960">
      <c r="A960" s="29" t="n"/>
      <c r="B960" s="30" t="n"/>
      <c r="C960" s="30" t="n"/>
      <c r="D960" s="31" t="n"/>
      <c r="E960" s="30" t="n"/>
      <c r="F960" s="32">
        <f>IF(AND(ISNUMBER(D960),ISNUMBER(E960)),D960*E960,"")</f>
        <v/>
      </c>
      <c r="G960" s="31" t="n"/>
      <c r="H960" s="32">
        <f>IF(C960="SELL",F960-SUMIFS($F$2:$F$1000,$B$2:$B$1000,B960,$C$2:$C$1000,"&lt;&gt;SELL",$A$2:$A$1000,"&gt;"&amp;_xlfn.MAXIFS($A$2:$A$1000,$B$2:$B$1000,B960,$C$2:$C$1000,"SELL",$A$2:$A$1000,"&lt;"&amp;A960),$A$2:$A$1000,"&lt;="&amp;A960),"")</f>
        <v/>
      </c>
    </row>
    <row r="961">
      <c r="A961" s="29" t="n"/>
      <c r="B961" s="30" t="n"/>
      <c r="C961" s="30" t="n"/>
      <c r="D961" s="31" t="n"/>
      <c r="E961" s="30" t="n"/>
      <c r="F961" s="32">
        <f>IF(AND(ISNUMBER(D961),ISNUMBER(E961)),D961*E961,"")</f>
        <v/>
      </c>
      <c r="G961" s="31" t="n"/>
      <c r="H961" s="32">
        <f>IF(C961="SELL",F961-SUMIFS($F$2:$F$1000,$B$2:$B$1000,B961,$C$2:$C$1000,"&lt;&gt;SELL",$A$2:$A$1000,"&gt;"&amp;_xlfn.MAXIFS($A$2:$A$1000,$B$2:$B$1000,B961,$C$2:$C$1000,"SELL",$A$2:$A$1000,"&lt;"&amp;A961),$A$2:$A$1000,"&lt;="&amp;A961),"")</f>
        <v/>
      </c>
    </row>
    <row r="962">
      <c r="A962" s="29" t="n"/>
      <c r="B962" s="30" t="n"/>
      <c r="C962" s="30" t="n"/>
      <c r="D962" s="31" t="n"/>
      <c r="E962" s="30" t="n"/>
      <c r="F962" s="32">
        <f>IF(AND(ISNUMBER(D962),ISNUMBER(E962)),D962*E962,"")</f>
        <v/>
      </c>
      <c r="G962" s="31" t="n"/>
      <c r="H962" s="32">
        <f>IF(C962="SELL",F962-SUMIFS($F$2:$F$1000,$B$2:$B$1000,B962,$C$2:$C$1000,"&lt;&gt;SELL",$A$2:$A$1000,"&gt;"&amp;_xlfn.MAXIFS($A$2:$A$1000,$B$2:$B$1000,B962,$C$2:$C$1000,"SELL",$A$2:$A$1000,"&lt;"&amp;A962),$A$2:$A$1000,"&lt;="&amp;A962),"")</f>
        <v/>
      </c>
    </row>
    <row r="963">
      <c r="A963" s="29" t="n"/>
      <c r="B963" s="30" t="n"/>
      <c r="C963" s="30" t="n"/>
      <c r="D963" s="31" t="n"/>
      <c r="E963" s="30" t="n"/>
      <c r="F963" s="32">
        <f>IF(AND(ISNUMBER(D963),ISNUMBER(E963)),D963*E963,"")</f>
        <v/>
      </c>
      <c r="G963" s="31" t="n"/>
      <c r="H963" s="32">
        <f>IF(C963="SELL",F963-SUMIFS($F$2:$F$1000,$B$2:$B$1000,B963,$C$2:$C$1000,"&lt;&gt;SELL",$A$2:$A$1000,"&gt;"&amp;_xlfn.MAXIFS($A$2:$A$1000,$B$2:$B$1000,B963,$C$2:$C$1000,"SELL",$A$2:$A$1000,"&lt;"&amp;A963),$A$2:$A$1000,"&lt;="&amp;A963),"")</f>
        <v/>
      </c>
    </row>
    <row r="964">
      <c r="A964" s="29" t="n"/>
      <c r="B964" s="30" t="n"/>
      <c r="C964" s="30" t="n"/>
      <c r="D964" s="31" t="n"/>
      <c r="E964" s="30" t="n"/>
      <c r="F964" s="32">
        <f>IF(AND(ISNUMBER(D964),ISNUMBER(E964)),D964*E964,"")</f>
        <v/>
      </c>
      <c r="G964" s="31" t="n"/>
      <c r="H964" s="32">
        <f>IF(C964="SELL",F964-SUMIFS($F$2:$F$1000,$B$2:$B$1000,B964,$C$2:$C$1000,"&lt;&gt;SELL",$A$2:$A$1000,"&gt;"&amp;_xlfn.MAXIFS($A$2:$A$1000,$B$2:$B$1000,B964,$C$2:$C$1000,"SELL",$A$2:$A$1000,"&lt;"&amp;A964),$A$2:$A$1000,"&lt;="&amp;A964),"")</f>
        <v/>
      </c>
    </row>
    <row r="965">
      <c r="A965" s="29" t="n"/>
      <c r="B965" s="30" t="n"/>
      <c r="C965" s="30" t="n"/>
      <c r="D965" s="31" t="n"/>
      <c r="E965" s="30" t="n"/>
      <c r="F965" s="32">
        <f>IF(AND(ISNUMBER(D965),ISNUMBER(E965)),D965*E965,"")</f>
        <v/>
      </c>
      <c r="G965" s="31" t="n"/>
      <c r="H965" s="32">
        <f>IF(C965="SELL",F965-SUMIFS($F$2:$F$1000,$B$2:$B$1000,B965,$C$2:$C$1000,"&lt;&gt;SELL",$A$2:$A$1000,"&gt;"&amp;_xlfn.MAXIFS($A$2:$A$1000,$B$2:$B$1000,B965,$C$2:$C$1000,"SELL",$A$2:$A$1000,"&lt;"&amp;A965),$A$2:$A$1000,"&lt;="&amp;A965),"")</f>
        <v/>
      </c>
    </row>
    <row r="966">
      <c r="A966" s="29" t="n"/>
      <c r="B966" s="30" t="n"/>
      <c r="C966" s="30" t="n"/>
      <c r="D966" s="31" t="n"/>
      <c r="E966" s="30" t="n"/>
      <c r="F966" s="32">
        <f>IF(AND(ISNUMBER(D966),ISNUMBER(E966)),D966*E966,"")</f>
        <v/>
      </c>
      <c r="G966" s="31" t="n"/>
      <c r="H966" s="32">
        <f>IF(C966="SELL",F966-SUMIFS($F$2:$F$1000,$B$2:$B$1000,B966,$C$2:$C$1000,"&lt;&gt;SELL",$A$2:$A$1000,"&gt;"&amp;_xlfn.MAXIFS($A$2:$A$1000,$B$2:$B$1000,B966,$C$2:$C$1000,"SELL",$A$2:$A$1000,"&lt;"&amp;A966),$A$2:$A$1000,"&lt;="&amp;A966),"")</f>
        <v/>
      </c>
    </row>
    <row r="967">
      <c r="A967" s="29" t="n"/>
      <c r="B967" s="30" t="n"/>
      <c r="C967" s="30" t="n"/>
      <c r="D967" s="31" t="n"/>
      <c r="E967" s="30" t="n"/>
      <c r="F967" s="32">
        <f>IF(AND(ISNUMBER(D967),ISNUMBER(E967)),D967*E967,"")</f>
        <v/>
      </c>
      <c r="G967" s="31" t="n"/>
      <c r="H967" s="32">
        <f>IF(C967="SELL",F967-SUMIFS($F$2:$F$1000,$B$2:$B$1000,B967,$C$2:$C$1000,"&lt;&gt;SELL",$A$2:$A$1000,"&gt;"&amp;_xlfn.MAXIFS($A$2:$A$1000,$B$2:$B$1000,B967,$C$2:$C$1000,"SELL",$A$2:$A$1000,"&lt;"&amp;A967),$A$2:$A$1000,"&lt;="&amp;A967),"")</f>
        <v/>
      </c>
    </row>
    <row r="968">
      <c r="A968" s="29" t="n"/>
      <c r="B968" s="30" t="n"/>
      <c r="C968" s="30" t="n"/>
      <c r="D968" s="31" t="n"/>
      <c r="E968" s="30" t="n"/>
      <c r="F968" s="32">
        <f>IF(AND(ISNUMBER(D968),ISNUMBER(E968)),D968*E968,"")</f>
        <v/>
      </c>
      <c r="G968" s="31" t="n"/>
      <c r="H968" s="32">
        <f>IF(C968="SELL",F968-SUMIFS($F$2:$F$1000,$B$2:$B$1000,B968,$C$2:$C$1000,"&lt;&gt;SELL",$A$2:$A$1000,"&gt;"&amp;_xlfn.MAXIFS($A$2:$A$1000,$B$2:$B$1000,B968,$C$2:$C$1000,"SELL",$A$2:$A$1000,"&lt;"&amp;A968),$A$2:$A$1000,"&lt;="&amp;A968),"")</f>
        <v/>
      </c>
    </row>
    <row r="969">
      <c r="A969" s="29" t="n"/>
      <c r="B969" s="30" t="n"/>
      <c r="C969" s="30" t="n"/>
      <c r="D969" s="31" t="n"/>
      <c r="E969" s="30" t="n"/>
      <c r="F969" s="32">
        <f>IF(AND(ISNUMBER(D969),ISNUMBER(E969)),D969*E969,"")</f>
        <v/>
      </c>
      <c r="G969" s="31" t="n"/>
      <c r="H969" s="32">
        <f>IF(C969="SELL",F969-SUMIFS($F$2:$F$1000,$B$2:$B$1000,B969,$C$2:$C$1000,"&lt;&gt;SELL",$A$2:$A$1000,"&gt;"&amp;_xlfn.MAXIFS($A$2:$A$1000,$B$2:$B$1000,B969,$C$2:$C$1000,"SELL",$A$2:$A$1000,"&lt;"&amp;A969),$A$2:$A$1000,"&lt;="&amp;A969),"")</f>
        <v/>
      </c>
    </row>
    <row r="970">
      <c r="A970" s="29" t="n"/>
      <c r="B970" s="30" t="n"/>
      <c r="C970" s="30" t="n"/>
      <c r="D970" s="31" t="n"/>
      <c r="E970" s="30" t="n"/>
      <c r="F970" s="32">
        <f>IF(AND(ISNUMBER(D970),ISNUMBER(E970)),D970*E970,"")</f>
        <v/>
      </c>
      <c r="G970" s="31" t="n"/>
      <c r="H970" s="32">
        <f>IF(C970="SELL",F970-SUMIFS($F$2:$F$1000,$B$2:$B$1000,B970,$C$2:$C$1000,"&lt;&gt;SELL",$A$2:$A$1000,"&gt;"&amp;_xlfn.MAXIFS($A$2:$A$1000,$B$2:$B$1000,B970,$C$2:$C$1000,"SELL",$A$2:$A$1000,"&lt;"&amp;A970),$A$2:$A$1000,"&lt;="&amp;A970),"")</f>
        <v/>
      </c>
    </row>
    <row r="971">
      <c r="A971" s="29" t="n"/>
      <c r="B971" s="30" t="n"/>
      <c r="C971" s="30" t="n"/>
      <c r="D971" s="31" t="n"/>
      <c r="E971" s="30" t="n"/>
      <c r="F971" s="32">
        <f>IF(AND(ISNUMBER(D971),ISNUMBER(E971)),D971*E971,"")</f>
        <v/>
      </c>
      <c r="G971" s="31" t="n"/>
      <c r="H971" s="32">
        <f>IF(C971="SELL",F971-SUMIFS($F$2:$F$1000,$B$2:$B$1000,B971,$C$2:$C$1000,"&lt;&gt;SELL",$A$2:$A$1000,"&gt;"&amp;_xlfn.MAXIFS($A$2:$A$1000,$B$2:$B$1000,B971,$C$2:$C$1000,"SELL",$A$2:$A$1000,"&lt;"&amp;A971),$A$2:$A$1000,"&lt;="&amp;A971),"")</f>
        <v/>
      </c>
    </row>
    <row r="972">
      <c r="A972" s="29" t="n"/>
      <c r="B972" s="30" t="n"/>
      <c r="C972" s="30" t="n"/>
      <c r="D972" s="31" t="n"/>
      <c r="E972" s="30" t="n"/>
      <c r="F972" s="32">
        <f>IF(AND(ISNUMBER(D972),ISNUMBER(E972)),D972*E972,"")</f>
        <v/>
      </c>
      <c r="G972" s="31" t="n"/>
      <c r="H972" s="32">
        <f>IF(C972="SELL",F972-SUMIFS($F$2:$F$1000,$B$2:$B$1000,B972,$C$2:$C$1000,"&lt;&gt;SELL",$A$2:$A$1000,"&gt;"&amp;_xlfn.MAXIFS($A$2:$A$1000,$B$2:$B$1000,B972,$C$2:$C$1000,"SELL",$A$2:$A$1000,"&lt;"&amp;A972),$A$2:$A$1000,"&lt;="&amp;A972),"")</f>
        <v/>
      </c>
    </row>
    <row r="973">
      <c r="A973" s="29" t="n"/>
      <c r="B973" s="30" t="n"/>
      <c r="C973" s="30" t="n"/>
      <c r="D973" s="31" t="n"/>
      <c r="E973" s="30" t="n"/>
      <c r="F973" s="32">
        <f>IF(AND(ISNUMBER(D973),ISNUMBER(E973)),D973*E973,"")</f>
        <v/>
      </c>
      <c r="G973" s="31" t="n"/>
      <c r="H973" s="32">
        <f>IF(C973="SELL",F973-SUMIFS($F$2:$F$1000,$B$2:$B$1000,B973,$C$2:$C$1000,"&lt;&gt;SELL",$A$2:$A$1000,"&gt;"&amp;_xlfn.MAXIFS($A$2:$A$1000,$B$2:$B$1000,B973,$C$2:$C$1000,"SELL",$A$2:$A$1000,"&lt;"&amp;A973),$A$2:$A$1000,"&lt;="&amp;A973),"")</f>
        <v/>
      </c>
    </row>
    <row r="974">
      <c r="A974" s="29" t="n"/>
      <c r="B974" s="30" t="n"/>
      <c r="C974" s="30" t="n"/>
      <c r="D974" s="31" t="n"/>
      <c r="E974" s="30" t="n"/>
      <c r="F974" s="32">
        <f>IF(AND(ISNUMBER(D974),ISNUMBER(E974)),D974*E974,"")</f>
        <v/>
      </c>
      <c r="G974" s="31" t="n"/>
      <c r="H974" s="32">
        <f>IF(C974="SELL",F974-SUMIFS($F$2:$F$1000,$B$2:$B$1000,B974,$C$2:$C$1000,"&lt;&gt;SELL",$A$2:$A$1000,"&gt;"&amp;_xlfn.MAXIFS($A$2:$A$1000,$B$2:$B$1000,B974,$C$2:$C$1000,"SELL",$A$2:$A$1000,"&lt;"&amp;A974),$A$2:$A$1000,"&lt;="&amp;A974),"")</f>
        <v/>
      </c>
    </row>
    <row r="975">
      <c r="A975" s="29" t="n"/>
      <c r="B975" s="30" t="n"/>
      <c r="C975" s="30" t="n"/>
      <c r="D975" s="31" t="n"/>
      <c r="E975" s="30" t="n"/>
      <c r="F975" s="32">
        <f>IF(AND(ISNUMBER(D975),ISNUMBER(E975)),D975*E975,"")</f>
        <v/>
      </c>
      <c r="G975" s="31" t="n"/>
      <c r="H975" s="32">
        <f>IF(C975="SELL",F975-SUMIFS($F$2:$F$1000,$B$2:$B$1000,B975,$C$2:$C$1000,"&lt;&gt;SELL",$A$2:$A$1000,"&gt;"&amp;_xlfn.MAXIFS($A$2:$A$1000,$B$2:$B$1000,B975,$C$2:$C$1000,"SELL",$A$2:$A$1000,"&lt;"&amp;A975),$A$2:$A$1000,"&lt;="&amp;A975),"")</f>
        <v/>
      </c>
    </row>
    <row r="976">
      <c r="A976" s="29" t="n"/>
      <c r="B976" s="30" t="n"/>
      <c r="C976" s="30" t="n"/>
      <c r="D976" s="31" t="n"/>
      <c r="E976" s="30" t="n"/>
      <c r="F976" s="32">
        <f>IF(AND(ISNUMBER(D976),ISNUMBER(E976)),D976*E976,"")</f>
        <v/>
      </c>
      <c r="G976" s="31" t="n"/>
      <c r="H976" s="32">
        <f>IF(C976="SELL",F976-SUMIFS($F$2:$F$1000,$B$2:$B$1000,B976,$C$2:$C$1000,"&lt;&gt;SELL",$A$2:$A$1000,"&gt;"&amp;_xlfn.MAXIFS($A$2:$A$1000,$B$2:$B$1000,B976,$C$2:$C$1000,"SELL",$A$2:$A$1000,"&lt;"&amp;A976),$A$2:$A$1000,"&lt;="&amp;A976),"")</f>
        <v/>
      </c>
    </row>
    <row r="977">
      <c r="A977" s="29" t="n"/>
      <c r="B977" s="30" t="n"/>
      <c r="C977" s="30" t="n"/>
      <c r="D977" s="31" t="n"/>
      <c r="E977" s="30" t="n"/>
      <c r="F977" s="32">
        <f>IF(AND(ISNUMBER(D977),ISNUMBER(E977)),D977*E977,"")</f>
        <v/>
      </c>
      <c r="G977" s="31" t="n"/>
      <c r="H977" s="32">
        <f>IF(C977="SELL",F977-SUMIFS($F$2:$F$1000,$B$2:$B$1000,B977,$C$2:$C$1000,"&lt;&gt;SELL",$A$2:$A$1000,"&gt;"&amp;_xlfn.MAXIFS($A$2:$A$1000,$B$2:$B$1000,B977,$C$2:$C$1000,"SELL",$A$2:$A$1000,"&lt;"&amp;A977),$A$2:$A$1000,"&lt;="&amp;A977),"")</f>
        <v/>
      </c>
    </row>
    <row r="978">
      <c r="A978" s="29" t="n"/>
      <c r="B978" s="30" t="n"/>
      <c r="C978" s="30" t="n"/>
      <c r="D978" s="31" t="n"/>
      <c r="E978" s="30" t="n"/>
      <c r="F978" s="32">
        <f>IF(AND(ISNUMBER(D978),ISNUMBER(E978)),D978*E978,"")</f>
        <v/>
      </c>
      <c r="G978" s="31" t="n"/>
      <c r="H978" s="32">
        <f>IF(C978="SELL",F978-SUMIFS($F$2:$F$1000,$B$2:$B$1000,B978,$C$2:$C$1000,"&lt;&gt;SELL",$A$2:$A$1000,"&gt;"&amp;_xlfn.MAXIFS($A$2:$A$1000,$B$2:$B$1000,B978,$C$2:$C$1000,"SELL",$A$2:$A$1000,"&lt;"&amp;A978),$A$2:$A$1000,"&lt;="&amp;A978),"")</f>
        <v/>
      </c>
    </row>
    <row r="979">
      <c r="A979" s="29" t="n"/>
      <c r="B979" s="30" t="n"/>
      <c r="C979" s="30" t="n"/>
      <c r="D979" s="31" t="n"/>
      <c r="E979" s="30" t="n"/>
      <c r="F979" s="32">
        <f>IF(AND(ISNUMBER(D979),ISNUMBER(E979)),D979*E979,"")</f>
        <v/>
      </c>
      <c r="G979" s="31" t="n"/>
      <c r="H979" s="32">
        <f>IF(C979="SELL",F979-SUMIFS($F$2:$F$1000,$B$2:$B$1000,B979,$C$2:$C$1000,"&lt;&gt;SELL",$A$2:$A$1000,"&gt;"&amp;_xlfn.MAXIFS($A$2:$A$1000,$B$2:$B$1000,B979,$C$2:$C$1000,"SELL",$A$2:$A$1000,"&lt;"&amp;A979),$A$2:$A$1000,"&lt;="&amp;A979),"")</f>
        <v/>
      </c>
    </row>
    <row r="980">
      <c r="A980" s="29" t="n"/>
      <c r="B980" s="30" t="n"/>
      <c r="C980" s="30" t="n"/>
      <c r="D980" s="31" t="n"/>
      <c r="E980" s="30" t="n"/>
      <c r="F980" s="32">
        <f>IF(AND(ISNUMBER(D980),ISNUMBER(E980)),D980*E980,"")</f>
        <v/>
      </c>
      <c r="G980" s="31" t="n"/>
      <c r="H980" s="32">
        <f>IF(C980="SELL",F980-SUMIFS($F$2:$F$1000,$B$2:$B$1000,B980,$C$2:$C$1000,"&lt;&gt;SELL",$A$2:$A$1000,"&gt;"&amp;_xlfn.MAXIFS($A$2:$A$1000,$B$2:$B$1000,B980,$C$2:$C$1000,"SELL",$A$2:$A$1000,"&lt;"&amp;A980),$A$2:$A$1000,"&lt;="&amp;A980),"")</f>
        <v/>
      </c>
    </row>
    <row r="981">
      <c r="A981" s="29" t="n"/>
      <c r="B981" s="30" t="n"/>
      <c r="C981" s="30" t="n"/>
      <c r="D981" s="31" t="n"/>
      <c r="E981" s="30" t="n"/>
      <c r="F981" s="32">
        <f>IF(AND(ISNUMBER(D981),ISNUMBER(E981)),D981*E981,"")</f>
        <v/>
      </c>
      <c r="G981" s="31" t="n"/>
      <c r="H981" s="32">
        <f>IF(C981="SELL",F981-SUMIFS($F$2:$F$1000,$B$2:$B$1000,B981,$C$2:$C$1000,"&lt;&gt;SELL",$A$2:$A$1000,"&gt;"&amp;_xlfn.MAXIFS($A$2:$A$1000,$B$2:$B$1000,B981,$C$2:$C$1000,"SELL",$A$2:$A$1000,"&lt;"&amp;A981),$A$2:$A$1000,"&lt;="&amp;A981),"")</f>
        <v/>
      </c>
    </row>
    <row r="982">
      <c r="A982" s="29" t="n"/>
      <c r="B982" s="30" t="n"/>
      <c r="C982" s="30" t="n"/>
      <c r="D982" s="31" t="n"/>
      <c r="E982" s="30" t="n"/>
      <c r="F982" s="32">
        <f>IF(AND(ISNUMBER(D982),ISNUMBER(E982)),D982*E982,"")</f>
        <v/>
      </c>
      <c r="G982" s="31" t="n"/>
      <c r="H982" s="32">
        <f>IF(C982="SELL",F982-SUMIFS($F$2:$F$1000,$B$2:$B$1000,B982,$C$2:$C$1000,"&lt;&gt;SELL",$A$2:$A$1000,"&gt;"&amp;_xlfn.MAXIFS($A$2:$A$1000,$B$2:$B$1000,B982,$C$2:$C$1000,"SELL",$A$2:$A$1000,"&lt;"&amp;A982),$A$2:$A$1000,"&lt;="&amp;A982),"")</f>
        <v/>
      </c>
    </row>
    <row r="983">
      <c r="A983" s="29" t="n"/>
      <c r="B983" s="30" t="n"/>
      <c r="C983" s="30" t="n"/>
      <c r="D983" s="31" t="n"/>
      <c r="E983" s="30" t="n"/>
      <c r="F983" s="32">
        <f>IF(AND(ISNUMBER(D983),ISNUMBER(E983)),D983*E983,"")</f>
        <v/>
      </c>
      <c r="G983" s="31" t="n"/>
      <c r="H983" s="32">
        <f>IF(C983="SELL",F983-SUMIFS($F$2:$F$1000,$B$2:$B$1000,B983,$C$2:$C$1000,"&lt;&gt;SELL",$A$2:$A$1000,"&gt;"&amp;_xlfn.MAXIFS($A$2:$A$1000,$B$2:$B$1000,B983,$C$2:$C$1000,"SELL",$A$2:$A$1000,"&lt;"&amp;A983),$A$2:$A$1000,"&lt;="&amp;A983),"")</f>
        <v/>
      </c>
    </row>
    <row r="984">
      <c r="A984" s="29" t="n"/>
      <c r="B984" s="30" t="n"/>
      <c r="C984" s="30" t="n"/>
      <c r="D984" s="31" t="n"/>
      <c r="E984" s="30" t="n"/>
      <c r="F984" s="32">
        <f>IF(AND(ISNUMBER(D984),ISNUMBER(E984)),D984*E984,"")</f>
        <v/>
      </c>
      <c r="G984" s="31" t="n"/>
      <c r="H984" s="32">
        <f>IF(C984="SELL",F984-SUMIFS($F$2:$F$1000,$B$2:$B$1000,B984,$C$2:$C$1000,"&lt;&gt;SELL",$A$2:$A$1000,"&gt;"&amp;_xlfn.MAXIFS($A$2:$A$1000,$B$2:$B$1000,B984,$C$2:$C$1000,"SELL",$A$2:$A$1000,"&lt;"&amp;A984),$A$2:$A$1000,"&lt;="&amp;A984),"")</f>
        <v/>
      </c>
    </row>
    <row r="985">
      <c r="A985" s="29" t="n"/>
      <c r="B985" s="30" t="n"/>
      <c r="C985" s="30" t="n"/>
      <c r="D985" s="31" t="n"/>
      <c r="E985" s="30" t="n"/>
      <c r="F985" s="32">
        <f>IF(AND(ISNUMBER(D985),ISNUMBER(E985)),D985*E985,"")</f>
        <v/>
      </c>
      <c r="G985" s="31" t="n"/>
      <c r="H985" s="32">
        <f>IF(C985="SELL",F985-SUMIFS($F$2:$F$1000,$B$2:$B$1000,B985,$C$2:$C$1000,"&lt;&gt;SELL",$A$2:$A$1000,"&gt;"&amp;_xlfn.MAXIFS($A$2:$A$1000,$B$2:$B$1000,B985,$C$2:$C$1000,"SELL",$A$2:$A$1000,"&lt;"&amp;A985),$A$2:$A$1000,"&lt;="&amp;A985),"")</f>
        <v/>
      </c>
    </row>
    <row r="986">
      <c r="A986" s="29" t="n"/>
      <c r="B986" s="30" t="n"/>
      <c r="C986" s="30" t="n"/>
      <c r="D986" s="31" t="n"/>
      <c r="E986" s="30" t="n"/>
      <c r="F986" s="32">
        <f>IF(AND(ISNUMBER(D986),ISNUMBER(E986)),D986*E986,"")</f>
        <v/>
      </c>
      <c r="G986" s="31" t="n"/>
      <c r="H986" s="32">
        <f>IF(C986="SELL",F986-SUMIFS($F$2:$F$1000,$B$2:$B$1000,B986,$C$2:$C$1000,"&lt;&gt;SELL",$A$2:$A$1000,"&gt;"&amp;_xlfn.MAXIFS($A$2:$A$1000,$B$2:$B$1000,B986,$C$2:$C$1000,"SELL",$A$2:$A$1000,"&lt;"&amp;A986),$A$2:$A$1000,"&lt;="&amp;A986),"")</f>
        <v/>
      </c>
    </row>
    <row r="987">
      <c r="A987" s="29" t="n"/>
      <c r="B987" s="30" t="n"/>
      <c r="C987" s="30" t="n"/>
      <c r="D987" s="31" t="n"/>
      <c r="E987" s="30" t="n"/>
      <c r="F987" s="32">
        <f>IF(AND(ISNUMBER(D987),ISNUMBER(E987)),D987*E987,"")</f>
        <v/>
      </c>
      <c r="G987" s="31" t="n"/>
      <c r="H987" s="32">
        <f>IF(C987="SELL",F987-SUMIFS($F$2:$F$1000,$B$2:$B$1000,B987,$C$2:$C$1000,"&lt;&gt;SELL",$A$2:$A$1000,"&gt;"&amp;_xlfn.MAXIFS($A$2:$A$1000,$B$2:$B$1000,B987,$C$2:$C$1000,"SELL",$A$2:$A$1000,"&lt;"&amp;A987),$A$2:$A$1000,"&lt;="&amp;A987),"")</f>
        <v/>
      </c>
    </row>
    <row r="988">
      <c r="A988" s="29" t="n"/>
      <c r="B988" s="30" t="n"/>
      <c r="C988" s="30" t="n"/>
      <c r="D988" s="31" t="n"/>
      <c r="E988" s="30" t="n"/>
      <c r="F988" s="32">
        <f>IF(AND(ISNUMBER(D988),ISNUMBER(E988)),D988*E988,"")</f>
        <v/>
      </c>
      <c r="G988" s="31" t="n"/>
      <c r="H988" s="32">
        <f>IF(C988="SELL",F988-SUMIFS($F$2:$F$1000,$B$2:$B$1000,B988,$C$2:$C$1000,"&lt;&gt;SELL",$A$2:$A$1000,"&gt;"&amp;_xlfn.MAXIFS($A$2:$A$1000,$B$2:$B$1000,B988,$C$2:$C$1000,"SELL",$A$2:$A$1000,"&lt;"&amp;A988),$A$2:$A$1000,"&lt;="&amp;A988),"")</f>
        <v/>
      </c>
    </row>
    <row r="989">
      <c r="A989" s="29" t="n"/>
      <c r="B989" s="30" t="n"/>
      <c r="C989" s="30" t="n"/>
      <c r="D989" s="31" t="n"/>
      <c r="E989" s="30" t="n"/>
      <c r="F989" s="32">
        <f>IF(AND(ISNUMBER(D989),ISNUMBER(E989)),D989*E989,"")</f>
        <v/>
      </c>
      <c r="G989" s="31" t="n"/>
      <c r="H989" s="32">
        <f>IF(C989="SELL",F989-SUMIFS($F$2:$F$1000,$B$2:$B$1000,B989,$C$2:$C$1000,"&lt;&gt;SELL",$A$2:$A$1000,"&gt;"&amp;_xlfn.MAXIFS($A$2:$A$1000,$B$2:$B$1000,B989,$C$2:$C$1000,"SELL",$A$2:$A$1000,"&lt;"&amp;A989),$A$2:$A$1000,"&lt;="&amp;A989),"")</f>
        <v/>
      </c>
    </row>
    <row r="990">
      <c r="A990" s="29" t="n"/>
      <c r="B990" s="30" t="n"/>
      <c r="C990" s="30" t="n"/>
      <c r="D990" s="31" t="n"/>
      <c r="E990" s="30" t="n"/>
      <c r="F990" s="32">
        <f>IF(AND(ISNUMBER(D990),ISNUMBER(E990)),D990*E990,"")</f>
        <v/>
      </c>
      <c r="G990" s="31" t="n"/>
      <c r="H990" s="32">
        <f>IF(C990="SELL",F990-SUMIFS($F$2:$F$1000,$B$2:$B$1000,B990,$C$2:$C$1000,"&lt;&gt;SELL",$A$2:$A$1000,"&gt;"&amp;_xlfn.MAXIFS($A$2:$A$1000,$B$2:$B$1000,B990,$C$2:$C$1000,"SELL",$A$2:$A$1000,"&lt;"&amp;A990),$A$2:$A$1000,"&lt;="&amp;A990),"")</f>
        <v/>
      </c>
    </row>
    <row r="991">
      <c r="A991" s="29" t="n"/>
      <c r="B991" s="30" t="n"/>
      <c r="C991" s="30" t="n"/>
      <c r="D991" s="31" t="n"/>
      <c r="E991" s="30" t="n"/>
      <c r="F991" s="32">
        <f>IF(AND(ISNUMBER(D991),ISNUMBER(E991)),D991*E991,"")</f>
        <v/>
      </c>
      <c r="G991" s="31" t="n"/>
      <c r="H991" s="32">
        <f>IF(C991="SELL",F991-SUMIFS($F$2:$F$1000,$B$2:$B$1000,B991,$C$2:$C$1000,"&lt;&gt;SELL",$A$2:$A$1000,"&gt;"&amp;_xlfn.MAXIFS($A$2:$A$1000,$B$2:$B$1000,B991,$C$2:$C$1000,"SELL",$A$2:$A$1000,"&lt;"&amp;A991),$A$2:$A$1000,"&lt;="&amp;A991),"")</f>
        <v/>
      </c>
    </row>
    <row r="992">
      <c r="A992" s="29" t="n"/>
      <c r="B992" s="30" t="n"/>
      <c r="C992" s="30" t="n"/>
      <c r="D992" s="31" t="n"/>
      <c r="E992" s="30" t="n"/>
      <c r="F992" s="32">
        <f>IF(AND(ISNUMBER(D992),ISNUMBER(E992)),D992*E992,"")</f>
        <v/>
      </c>
      <c r="G992" s="31" t="n"/>
      <c r="H992" s="32">
        <f>IF(C992="SELL",F992-SUMIFS($F$2:$F$1000,$B$2:$B$1000,B992,$C$2:$C$1000,"&lt;&gt;SELL",$A$2:$A$1000,"&gt;"&amp;_xlfn.MAXIFS($A$2:$A$1000,$B$2:$B$1000,B992,$C$2:$C$1000,"SELL",$A$2:$A$1000,"&lt;"&amp;A992),$A$2:$A$1000,"&lt;="&amp;A992),"")</f>
        <v/>
      </c>
    </row>
    <row r="993">
      <c r="A993" s="29" t="n"/>
      <c r="B993" s="30" t="n"/>
      <c r="C993" s="30" t="n"/>
      <c r="D993" s="31" t="n"/>
      <c r="E993" s="30" t="n"/>
      <c r="F993" s="32">
        <f>IF(AND(ISNUMBER(D993),ISNUMBER(E993)),D993*E993,"")</f>
        <v/>
      </c>
      <c r="G993" s="31" t="n"/>
      <c r="H993" s="32">
        <f>IF(C993="SELL",F993-SUMIFS($F$2:$F$1000,$B$2:$B$1000,B993,$C$2:$C$1000,"&lt;&gt;SELL",$A$2:$A$1000,"&gt;"&amp;_xlfn.MAXIFS($A$2:$A$1000,$B$2:$B$1000,B993,$C$2:$C$1000,"SELL",$A$2:$A$1000,"&lt;"&amp;A993),$A$2:$A$1000,"&lt;="&amp;A993),"")</f>
        <v/>
      </c>
    </row>
    <row r="994">
      <c r="A994" s="29" t="n"/>
      <c r="B994" s="30" t="n"/>
      <c r="C994" s="30" t="n"/>
      <c r="D994" s="31" t="n"/>
      <c r="E994" s="30" t="n"/>
      <c r="F994" s="32">
        <f>IF(AND(ISNUMBER(D994),ISNUMBER(E994)),D994*E994,"")</f>
        <v/>
      </c>
      <c r="G994" s="31" t="n"/>
      <c r="H994" s="32">
        <f>IF(C994="SELL",F994-SUMIFS($F$2:$F$1000,$B$2:$B$1000,B994,$C$2:$C$1000,"&lt;&gt;SELL",$A$2:$A$1000,"&gt;"&amp;_xlfn.MAXIFS($A$2:$A$1000,$B$2:$B$1000,B994,$C$2:$C$1000,"SELL",$A$2:$A$1000,"&lt;"&amp;A994),$A$2:$A$1000,"&lt;="&amp;A994),"")</f>
        <v/>
      </c>
    </row>
    <row r="995">
      <c r="A995" s="29" t="n"/>
      <c r="B995" s="30" t="n"/>
      <c r="C995" s="30" t="n"/>
      <c r="D995" s="31" t="n"/>
      <c r="E995" s="30" t="n"/>
      <c r="F995" s="32">
        <f>IF(AND(ISNUMBER(D995),ISNUMBER(E995)),D995*E995,"")</f>
        <v/>
      </c>
      <c r="G995" s="31" t="n"/>
      <c r="H995" s="32">
        <f>IF(C995="SELL",F995-SUMIFS($F$2:$F$1000,$B$2:$B$1000,B995,$C$2:$C$1000,"&lt;&gt;SELL",$A$2:$A$1000,"&gt;"&amp;_xlfn.MAXIFS($A$2:$A$1000,$B$2:$B$1000,B995,$C$2:$C$1000,"SELL",$A$2:$A$1000,"&lt;"&amp;A995),$A$2:$A$1000,"&lt;="&amp;A995),"")</f>
        <v/>
      </c>
    </row>
    <row r="996">
      <c r="A996" s="29" t="n"/>
      <c r="B996" s="30" t="n"/>
      <c r="C996" s="30" t="n"/>
      <c r="D996" s="31" t="n"/>
      <c r="E996" s="30" t="n"/>
      <c r="F996" s="32">
        <f>IF(AND(ISNUMBER(D996),ISNUMBER(E996)),D996*E996,"")</f>
        <v/>
      </c>
      <c r="G996" s="31" t="n"/>
      <c r="H996" s="32">
        <f>IF(C996="SELL",F996-SUMIFS($F$2:$F$1000,$B$2:$B$1000,B996,$C$2:$C$1000,"&lt;&gt;SELL",$A$2:$A$1000,"&gt;"&amp;_xlfn.MAXIFS($A$2:$A$1000,$B$2:$B$1000,B996,$C$2:$C$1000,"SELL",$A$2:$A$1000,"&lt;"&amp;A996),$A$2:$A$1000,"&lt;="&amp;A996),"")</f>
        <v/>
      </c>
    </row>
    <row r="997">
      <c r="A997" s="29" t="n"/>
      <c r="B997" s="30" t="n"/>
      <c r="C997" s="30" t="n"/>
      <c r="D997" s="31" t="n"/>
      <c r="E997" s="30" t="n"/>
      <c r="F997" s="32">
        <f>IF(AND(ISNUMBER(D997),ISNUMBER(E997)),D997*E997,"")</f>
        <v/>
      </c>
      <c r="G997" s="31" t="n"/>
      <c r="H997" s="32">
        <f>IF(C997="SELL",F997-SUMIFS($F$2:$F$1000,$B$2:$B$1000,B997,$C$2:$C$1000,"&lt;&gt;SELL",$A$2:$A$1000,"&gt;"&amp;_xlfn.MAXIFS($A$2:$A$1000,$B$2:$B$1000,B997,$C$2:$C$1000,"SELL",$A$2:$A$1000,"&lt;"&amp;A997),$A$2:$A$1000,"&lt;="&amp;A997),"")</f>
        <v/>
      </c>
    </row>
    <row r="998">
      <c r="A998" s="29" t="n"/>
      <c r="B998" s="30" t="n"/>
      <c r="C998" s="30" t="n"/>
      <c r="D998" s="31" t="n"/>
      <c r="E998" s="30" t="n"/>
      <c r="F998" s="32">
        <f>IF(AND(ISNUMBER(D998),ISNUMBER(E998)),D998*E998,"")</f>
        <v/>
      </c>
      <c r="G998" s="31" t="n"/>
      <c r="H998" s="32">
        <f>IF(C998="SELL",F998-SUMIFS($F$2:$F$1000,$B$2:$B$1000,B998,$C$2:$C$1000,"&lt;&gt;SELL",$A$2:$A$1000,"&gt;"&amp;_xlfn.MAXIFS($A$2:$A$1000,$B$2:$B$1000,B998,$C$2:$C$1000,"SELL",$A$2:$A$1000,"&lt;"&amp;A998),$A$2:$A$1000,"&lt;="&amp;A998),"")</f>
        <v/>
      </c>
    </row>
    <row r="999">
      <c r="A999" s="29" t="n"/>
      <c r="B999" s="30" t="n"/>
      <c r="C999" s="30" t="n"/>
      <c r="D999" s="31" t="n"/>
      <c r="E999" s="30" t="n"/>
      <c r="F999" s="32">
        <f>IF(AND(ISNUMBER(D999),ISNUMBER(E999)),D999*E999,"")</f>
        <v/>
      </c>
      <c r="G999" s="31" t="n"/>
      <c r="H999" s="32">
        <f>IF(C999="SELL",F999-SUMIFS($F$2:$F$1000,$B$2:$B$1000,B999,$C$2:$C$1000,"&lt;&gt;SELL",$A$2:$A$1000,"&gt;"&amp;_xlfn.MAXIFS($A$2:$A$1000,$B$2:$B$1000,B999,$C$2:$C$1000,"SELL",$A$2:$A$1000,"&lt;"&amp;A999),$A$2:$A$1000,"&lt;="&amp;A999),"")</f>
        <v/>
      </c>
    </row>
    <row r="1000">
      <c r="A1000" s="29" t="n"/>
      <c r="B1000" s="30" t="n"/>
      <c r="C1000" s="30" t="n"/>
      <c r="D1000" s="31" t="n"/>
      <c r="E1000" s="30" t="n"/>
      <c r="F1000" s="32">
        <f>IF(AND(ISNUMBER(D1000),ISNUMBER(E1000)),D1000*E1000,"")</f>
        <v/>
      </c>
      <c r="G1000" s="31" t="n"/>
      <c r="H1000" s="32">
        <f>IF(C1000="SELL",F1000-SUMIFS($F$2:$F$1000,$B$2:$B$1000,B1000,$C$2:$C$1000,"&lt;&gt;SELL",$A$2:$A$1000,"&gt;"&amp;_xlfn.MAXIFS($A$2:$A$1000,$B$2:$B$1000,B1000,$C$2:$C$1000,"SELL",$A$2:$A$1000,"&lt;"&amp;A1000),$A$2:$A$1000,"&lt;="&amp;A1000),"")</f>
        <v/>
      </c>
    </row>
  </sheetData>
  <dataValidations count="2">
    <dataValidation sqref="B2:B1000" showDropDown="0" showInputMessage="0" showErrorMessage="0" allowBlank="1" type="list">
      <formula1>=Settings!$E$24:$E$35</formula1>
    </dataValidation>
    <dataValidation sqref="C2:C1000" showDropDown="0" showInputMessage="0" showErrorMessage="0" allowBlank="1" type="list">
      <formula1>"LUMP,SIP,BUD,SELL"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30" customWidth="1" min="5" max="5"/>
    <col width="3" customWidth="1" min="6" max="6"/>
    <col width="36" customWidth="1" min="7" max="7"/>
    <col width="16" customWidth="1" min="8" max="8"/>
  </cols>
  <sheetData>
    <row r="1">
      <c r="A1" s="1" t="inlineStr">
        <is>
          <t>Gold accumulation</t>
        </is>
      </c>
    </row>
    <row r="2">
      <c r="A2" s="2" t="inlineStr">
        <is>
          <t>Log every gold ETF purchase made with booked profits. Gold is never sold.</t>
        </is>
      </c>
    </row>
    <row r="4">
      <c r="A4" s="9" t="inlineStr">
        <is>
          <t>Date</t>
        </is>
      </c>
      <c r="B4" s="9" t="inlineStr">
        <is>
          <t>Price</t>
        </is>
      </c>
      <c r="C4" s="9" t="inlineStr">
        <is>
          <t>Qty</t>
        </is>
      </c>
      <c r="D4" s="9" t="inlineStr">
        <is>
          <t>Amount</t>
        </is>
      </c>
      <c r="E4" s="9" t="inlineStr">
        <is>
          <t>Notes</t>
        </is>
      </c>
      <c r="G4" s="3" t="inlineStr">
        <is>
          <t>Units held</t>
        </is>
      </c>
      <c r="H4" s="20">
        <f>SUM(C5:C504)</f>
        <v/>
      </c>
    </row>
    <row r="5">
      <c r="A5" s="29" t="n"/>
      <c r="B5" s="31" t="n"/>
      <c r="C5" s="30" t="n"/>
      <c r="D5" s="32">
        <f>IF(AND(ISNUMBER(B5),ISNUMBER(C5)),B5*C5,"")</f>
        <v/>
      </c>
      <c r="E5" s="30" t="n"/>
      <c r="G5" s="3" t="inlineStr">
        <is>
          <t>Invested</t>
        </is>
      </c>
      <c r="H5" s="19">
        <f>SUM(D5:D504)</f>
        <v/>
      </c>
    </row>
    <row r="6">
      <c r="A6" s="29" t="n"/>
      <c r="B6" s="31" t="n"/>
      <c r="C6" s="30" t="n"/>
      <c r="D6" s="32">
        <f>IF(AND(ISNUMBER(B6),ISNUMBER(C6)),B6*C6,"")</f>
        <v/>
      </c>
      <c r="E6" s="30" t="n"/>
      <c r="G6" s="3" t="inlineStr">
        <is>
          <t>Manual price (optional)</t>
        </is>
      </c>
      <c r="H6" s="16" t="n"/>
    </row>
    <row r="7">
      <c r="A7" s="29" t="n"/>
      <c r="B7" s="31" t="n"/>
      <c r="C7" s="30" t="n"/>
      <c r="D7" s="32">
        <f>IF(AND(ISNUMBER(B7),ISNUMBER(C7)),B7*C7,"")</f>
        <v/>
      </c>
      <c r="E7" s="30" t="n"/>
      <c r="G7" s="3" t="inlineStr">
        <is>
          <t>Price used</t>
        </is>
      </c>
      <c r="H7" s="20">
        <f>IF(ISNUMBER(H6),H6,IFERROR(GOOGLEFINANCE("NSE:"&amp;Settings!B12),""))</f>
        <v/>
      </c>
    </row>
    <row r="8">
      <c r="A8" s="29" t="n"/>
      <c r="B8" s="31" t="n"/>
      <c r="C8" s="30" t="n"/>
      <c r="D8" s="32">
        <f>IF(AND(ISNUMBER(B8),ISNUMBER(C8)),B8*C8,"")</f>
        <v/>
      </c>
      <c r="E8" s="30" t="n"/>
      <c r="G8" s="3" t="inlineStr">
        <is>
          <t>Current value</t>
        </is>
      </c>
      <c r="H8" s="19">
        <f>IF(ISNUMBER(H7),H4*H7,H5)</f>
        <v/>
      </c>
    </row>
    <row r="9">
      <c r="A9" s="29" t="n"/>
      <c r="B9" s="31" t="n"/>
      <c r="C9" s="30" t="n"/>
      <c r="D9" s="32">
        <f>IF(AND(ISNUMBER(B9),ISNUMBER(C9)),B9*C9,"")</f>
        <v/>
      </c>
      <c r="E9" s="30" t="n"/>
      <c r="G9" s="3" t="inlineStr">
        <is>
          <t>Gold P/L</t>
        </is>
      </c>
      <c r="H9" s="19">
        <f>H8-H5</f>
        <v/>
      </c>
    </row>
    <row r="10">
      <c r="A10" s="29" t="n"/>
      <c r="B10" s="31" t="n"/>
      <c r="C10" s="30" t="n"/>
      <c r="D10" s="32">
        <f>IF(AND(ISNUMBER(B10),ISNUMBER(C10)),B10*C10,"")</f>
        <v/>
      </c>
      <c r="E10" s="30" t="n"/>
      <c r="G10" s="3" t="inlineStr">
        <is>
          <t>Booked profit not yet put into gold</t>
        </is>
      </c>
      <c r="H10" s="19">
        <f>SUM(Trades!$H$2:$H$1000)-H5</f>
        <v/>
      </c>
    </row>
    <row r="11">
      <c r="A11" s="29" t="n"/>
      <c r="B11" s="31" t="n"/>
      <c r="C11" s="30" t="n"/>
      <c r="D11" s="32">
        <f>IF(AND(ISNUMBER(B11),ISNUMBER(C11)),B11*C11,"")</f>
        <v/>
      </c>
      <c r="E11" s="30" t="n"/>
    </row>
    <row r="12">
      <c r="A12" s="29" t="n"/>
      <c r="B12" s="31" t="n"/>
      <c r="C12" s="30" t="n"/>
      <c r="D12" s="32">
        <f>IF(AND(ISNUMBER(B12),ISNUMBER(C12)),B12*C12,"")</f>
        <v/>
      </c>
      <c r="E12" s="30" t="n"/>
    </row>
    <row r="13">
      <c r="A13" s="29" t="n"/>
      <c r="B13" s="31" t="n"/>
      <c r="C13" s="30" t="n"/>
      <c r="D13" s="32">
        <f>IF(AND(ISNUMBER(B13),ISNUMBER(C13)),B13*C13,"")</f>
        <v/>
      </c>
      <c r="E13" s="30" t="n"/>
    </row>
    <row r="14">
      <c r="A14" s="29" t="n"/>
      <c r="B14" s="31" t="n"/>
      <c r="C14" s="30" t="n"/>
      <c r="D14" s="32">
        <f>IF(AND(ISNUMBER(B14),ISNUMBER(C14)),B14*C14,"")</f>
        <v/>
      </c>
      <c r="E14" s="30" t="n"/>
    </row>
    <row r="15">
      <c r="A15" s="29" t="n"/>
      <c r="B15" s="31" t="n"/>
      <c r="C15" s="30" t="n"/>
      <c r="D15" s="32">
        <f>IF(AND(ISNUMBER(B15),ISNUMBER(C15)),B15*C15,"")</f>
        <v/>
      </c>
      <c r="E15" s="30" t="n"/>
    </row>
    <row r="16">
      <c r="A16" s="29" t="n"/>
      <c r="B16" s="31" t="n"/>
      <c r="C16" s="30" t="n"/>
      <c r="D16" s="32">
        <f>IF(AND(ISNUMBER(B16),ISNUMBER(C16)),B16*C16,"")</f>
        <v/>
      </c>
      <c r="E16" s="30" t="n"/>
    </row>
    <row r="17">
      <c r="A17" s="29" t="n"/>
      <c r="B17" s="31" t="n"/>
      <c r="C17" s="30" t="n"/>
      <c r="D17" s="32">
        <f>IF(AND(ISNUMBER(B17),ISNUMBER(C17)),B17*C17,"")</f>
        <v/>
      </c>
      <c r="E17" s="30" t="n"/>
    </row>
    <row r="18">
      <c r="A18" s="29" t="n"/>
      <c r="B18" s="31" t="n"/>
      <c r="C18" s="30" t="n"/>
      <c r="D18" s="32">
        <f>IF(AND(ISNUMBER(B18),ISNUMBER(C18)),B18*C18,"")</f>
        <v/>
      </c>
      <c r="E18" s="30" t="n"/>
    </row>
    <row r="19">
      <c r="A19" s="29" t="n"/>
      <c r="B19" s="31" t="n"/>
      <c r="C19" s="30" t="n"/>
      <c r="D19" s="32">
        <f>IF(AND(ISNUMBER(B19),ISNUMBER(C19)),B19*C19,"")</f>
        <v/>
      </c>
      <c r="E19" s="30" t="n"/>
    </row>
    <row r="20">
      <c r="A20" s="29" t="n"/>
      <c r="B20" s="31" t="n"/>
      <c r="C20" s="30" t="n"/>
      <c r="D20" s="32">
        <f>IF(AND(ISNUMBER(B20),ISNUMBER(C20)),B20*C20,"")</f>
        <v/>
      </c>
      <c r="E20" s="30" t="n"/>
    </row>
    <row r="21">
      <c r="A21" s="29" t="n"/>
      <c r="B21" s="31" t="n"/>
      <c r="C21" s="30" t="n"/>
      <c r="D21" s="32">
        <f>IF(AND(ISNUMBER(B21),ISNUMBER(C21)),B21*C21,"")</f>
        <v/>
      </c>
      <c r="E21" s="30" t="n"/>
    </row>
    <row r="22">
      <c r="A22" s="29" t="n"/>
      <c r="B22" s="31" t="n"/>
      <c r="C22" s="30" t="n"/>
      <c r="D22" s="32">
        <f>IF(AND(ISNUMBER(B22),ISNUMBER(C22)),B22*C22,"")</f>
        <v/>
      </c>
      <c r="E22" s="30" t="n"/>
    </row>
    <row r="23">
      <c r="A23" s="29" t="n"/>
      <c r="B23" s="31" t="n"/>
      <c r="C23" s="30" t="n"/>
      <c r="D23" s="32">
        <f>IF(AND(ISNUMBER(B23),ISNUMBER(C23)),B23*C23,"")</f>
        <v/>
      </c>
      <c r="E23" s="30" t="n"/>
    </row>
    <row r="24">
      <c r="A24" s="29" t="n"/>
      <c r="B24" s="31" t="n"/>
      <c r="C24" s="30" t="n"/>
      <c r="D24" s="32">
        <f>IF(AND(ISNUMBER(B24),ISNUMBER(C24)),B24*C24,"")</f>
        <v/>
      </c>
      <c r="E24" s="30" t="n"/>
    </row>
    <row r="25">
      <c r="A25" s="29" t="n"/>
      <c r="B25" s="31" t="n"/>
      <c r="C25" s="30" t="n"/>
      <c r="D25" s="32">
        <f>IF(AND(ISNUMBER(B25),ISNUMBER(C25)),B25*C25,"")</f>
        <v/>
      </c>
      <c r="E25" s="30" t="n"/>
    </row>
    <row r="26">
      <c r="A26" s="29" t="n"/>
      <c r="B26" s="31" t="n"/>
      <c r="C26" s="30" t="n"/>
      <c r="D26" s="32">
        <f>IF(AND(ISNUMBER(B26),ISNUMBER(C26)),B26*C26,"")</f>
        <v/>
      </c>
      <c r="E26" s="30" t="n"/>
    </row>
    <row r="27">
      <c r="A27" s="29" t="n"/>
      <c r="B27" s="31" t="n"/>
      <c r="C27" s="30" t="n"/>
      <c r="D27" s="32">
        <f>IF(AND(ISNUMBER(B27),ISNUMBER(C27)),B27*C27,"")</f>
        <v/>
      </c>
      <c r="E27" s="30" t="n"/>
    </row>
    <row r="28">
      <c r="A28" s="29" t="n"/>
      <c r="B28" s="31" t="n"/>
      <c r="C28" s="30" t="n"/>
      <c r="D28" s="32">
        <f>IF(AND(ISNUMBER(B28),ISNUMBER(C28)),B28*C28,"")</f>
        <v/>
      </c>
      <c r="E28" s="30" t="n"/>
    </row>
    <row r="29">
      <c r="A29" s="29" t="n"/>
      <c r="B29" s="31" t="n"/>
      <c r="C29" s="30" t="n"/>
      <c r="D29" s="32">
        <f>IF(AND(ISNUMBER(B29),ISNUMBER(C29)),B29*C29,"")</f>
        <v/>
      </c>
      <c r="E29" s="30" t="n"/>
    </row>
    <row r="30">
      <c r="A30" s="29" t="n"/>
      <c r="B30" s="31" t="n"/>
      <c r="C30" s="30" t="n"/>
      <c r="D30" s="32">
        <f>IF(AND(ISNUMBER(B30),ISNUMBER(C30)),B30*C30,"")</f>
        <v/>
      </c>
      <c r="E30" s="30" t="n"/>
    </row>
    <row r="31">
      <c r="A31" s="29" t="n"/>
      <c r="B31" s="31" t="n"/>
      <c r="C31" s="30" t="n"/>
      <c r="D31" s="32">
        <f>IF(AND(ISNUMBER(B31),ISNUMBER(C31)),B31*C31,"")</f>
        <v/>
      </c>
      <c r="E31" s="30" t="n"/>
    </row>
    <row r="32">
      <c r="A32" s="29" t="n"/>
      <c r="B32" s="31" t="n"/>
      <c r="C32" s="30" t="n"/>
      <c r="D32" s="32">
        <f>IF(AND(ISNUMBER(B32),ISNUMBER(C32)),B32*C32,"")</f>
        <v/>
      </c>
      <c r="E32" s="30" t="n"/>
    </row>
    <row r="33">
      <c r="A33" s="29" t="n"/>
      <c r="B33" s="31" t="n"/>
      <c r="C33" s="30" t="n"/>
      <c r="D33" s="32">
        <f>IF(AND(ISNUMBER(B33),ISNUMBER(C33)),B33*C33,"")</f>
        <v/>
      </c>
      <c r="E33" s="30" t="n"/>
    </row>
    <row r="34">
      <c r="A34" s="29" t="n"/>
      <c r="B34" s="31" t="n"/>
      <c r="C34" s="30" t="n"/>
      <c r="D34" s="32">
        <f>IF(AND(ISNUMBER(B34),ISNUMBER(C34)),B34*C34,"")</f>
        <v/>
      </c>
      <c r="E34" s="30" t="n"/>
    </row>
    <row r="35">
      <c r="A35" s="29" t="n"/>
      <c r="B35" s="31" t="n"/>
      <c r="C35" s="30" t="n"/>
      <c r="D35" s="32">
        <f>IF(AND(ISNUMBER(B35),ISNUMBER(C35)),B35*C35,"")</f>
        <v/>
      </c>
      <c r="E35" s="30" t="n"/>
    </row>
    <row r="36">
      <c r="A36" s="29" t="n"/>
      <c r="B36" s="31" t="n"/>
      <c r="C36" s="30" t="n"/>
      <c r="D36" s="32">
        <f>IF(AND(ISNUMBER(B36),ISNUMBER(C36)),B36*C36,"")</f>
        <v/>
      </c>
      <c r="E36" s="30" t="n"/>
    </row>
    <row r="37">
      <c r="A37" s="29" t="n"/>
      <c r="B37" s="31" t="n"/>
      <c r="C37" s="30" t="n"/>
      <c r="D37" s="32">
        <f>IF(AND(ISNUMBER(B37),ISNUMBER(C37)),B37*C37,"")</f>
        <v/>
      </c>
      <c r="E37" s="30" t="n"/>
    </row>
    <row r="38">
      <c r="A38" s="29" t="n"/>
      <c r="B38" s="31" t="n"/>
      <c r="C38" s="30" t="n"/>
      <c r="D38" s="32">
        <f>IF(AND(ISNUMBER(B38),ISNUMBER(C38)),B38*C38,"")</f>
        <v/>
      </c>
      <c r="E38" s="30" t="n"/>
    </row>
    <row r="39">
      <c r="A39" s="29" t="n"/>
      <c r="B39" s="31" t="n"/>
      <c r="C39" s="30" t="n"/>
      <c r="D39" s="32">
        <f>IF(AND(ISNUMBER(B39),ISNUMBER(C39)),B39*C39,"")</f>
        <v/>
      </c>
      <c r="E39" s="30" t="n"/>
    </row>
    <row r="40">
      <c r="A40" s="29" t="n"/>
      <c r="B40" s="31" t="n"/>
      <c r="C40" s="30" t="n"/>
      <c r="D40" s="32">
        <f>IF(AND(ISNUMBER(B40),ISNUMBER(C40)),B40*C40,"")</f>
        <v/>
      </c>
      <c r="E40" s="30" t="n"/>
    </row>
    <row r="41">
      <c r="A41" s="29" t="n"/>
      <c r="B41" s="31" t="n"/>
      <c r="C41" s="30" t="n"/>
      <c r="D41" s="32">
        <f>IF(AND(ISNUMBER(B41),ISNUMBER(C41)),B41*C41,"")</f>
        <v/>
      </c>
      <c r="E41" s="30" t="n"/>
    </row>
    <row r="42">
      <c r="A42" s="29" t="n"/>
      <c r="B42" s="31" t="n"/>
      <c r="C42" s="30" t="n"/>
      <c r="D42" s="32">
        <f>IF(AND(ISNUMBER(B42),ISNUMBER(C42)),B42*C42,"")</f>
        <v/>
      </c>
      <c r="E42" s="30" t="n"/>
    </row>
    <row r="43">
      <c r="A43" s="29" t="n"/>
      <c r="B43" s="31" t="n"/>
      <c r="C43" s="30" t="n"/>
      <c r="D43" s="32">
        <f>IF(AND(ISNUMBER(B43),ISNUMBER(C43)),B43*C43,"")</f>
        <v/>
      </c>
      <c r="E43" s="30" t="n"/>
    </row>
    <row r="44">
      <c r="A44" s="29" t="n"/>
      <c r="B44" s="31" t="n"/>
      <c r="C44" s="30" t="n"/>
      <c r="D44" s="32">
        <f>IF(AND(ISNUMBER(B44),ISNUMBER(C44)),B44*C44,"")</f>
        <v/>
      </c>
      <c r="E44" s="30" t="n"/>
    </row>
    <row r="45">
      <c r="A45" s="29" t="n"/>
      <c r="B45" s="31" t="n"/>
      <c r="C45" s="30" t="n"/>
      <c r="D45" s="32">
        <f>IF(AND(ISNUMBER(B45),ISNUMBER(C45)),B45*C45,"")</f>
        <v/>
      </c>
      <c r="E45" s="30" t="n"/>
    </row>
    <row r="46">
      <c r="A46" s="29" t="n"/>
      <c r="B46" s="31" t="n"/>
      <c r="C46" s="30" t="n"/>
      <c r="D46" s="32">
        <f>IF(AND(ISNUMBER(B46),ISNUMBER(C46)),B46*C46,"")</f>
        <v/>
      </c>
      <c r="E46" s="30" t="n"/>
    </row>
    <row r="47">
      <c r="A47" s="29" t="n"/>
      <c r="B47" s="31" t="n"/>
      <c r="C47" s="30" t="n"/>
      <c r="D47" s="32">
        <f>IF(AND(ISNUMBER(B47),ISNUMBER(C47)),B47*C47,"")</f>
        <v/>
      </c>
      <c r="E47" s="30" t="n"/>
    </row>
    <row r="48">
      <c r="A48" s="29" t="n"/>
      <c r="B48" s="31" t="n"/>
      <c r="C48" s="30" t="n"/>
      <c r="D48" s="32">
        <f>IF(AND(ISNUMBER(B48),ISNUMBER(C48)),B48*C48,"")</f>
        <v/>
      </c>
      <c r="E48" s="30" t="n"/>
    </row>
    <row r="49">
      <c r="A49" s="29" t="n"/>
      <c r="B49" s="31" t="n"/>
      <c r="C49" s="30" t="n"/>
      <c r="D49" s="32">
        <f>IF(AND(ISNUMBER(B49),ISNUMBER(C49)),B49*C49,"")</f>
        <v/>
      </c>
      <c r="E49" s="30" t="n"/>
    </row>
    <row r="50">
      <c r="A50" s="29" t="n"/>
      <c r="B50" s="31" t="n"/>
      <c r="C50" s="30" t="n"/>
      <c r="D50" s="32">
        <f>IF(AND(ISNUMBER(B50),ISNUMBER(C50)),B50*C50,"")</f>
        <v/>
      </c>
      <c r="E50" s="30" t="n"/>
    </row>
    <row r="51">
      <c r="A51" s="29" t="n"/>
      <c r="B51" s="31" t="n"/>
      <c r="C51" s="30" t="n"/>
      <c r="D51" s="32">
        <f>IF(AND(ISNUMBER(B51),ISNUMBER(C51)),B51*C51,"")</f>
        <v/>
      </c>
      <c r="E51" s="30" t="n"/>
    </row>
    <row r="52">
      <c r="A52" s="29" t="n"/>
      <c r="B52" s="31" t="n"/>
      <c r="C52" s="30" t="n"/>
      <c r="D52" s="32">
        <f>IF(AND(ISNUMBER(B52),ISNUMBER(C52)),B52*C52,"")</f>
        <v/>
      </c>
      <c r="E52" s="30" t="n"/>
    </row>
    <row r="53">
      <c r="A53" s="29" t="n"/>
      <c r="B53" s="31" t="n"/>
      <c r="C53" s="30" t="n"/>
      <c r="D53" s="32">
        <f>IF(AND(ISNUMBER(B53),ISNUMBER(C53)),B53*C53,"")</f>
        <v/>
      </c>
      <c r="E53" s="30" t="n"/>
    </row>
    <row r="54">
      <c r="A54" s="29" t="n"/>
      <c r="B54" s="31" t="n"/>
      <c r="C54" s="30" t="n"/>
      <c r="D54" s="32">
        <f>IF(AND(ISNUMBER(B54),ISNUMBER(C54)),B54*C54,"")</f>
        <v/>
      </c>
      <c r="E54" s="30" t="n"/>
    </row>
    <row r="55">
      <c r="A55" s="29" t="n"/>
      <c r="B55" s="31" t="n"/>
      <c r="C55" s="30" t="n"/>
      <c r="D55" s="32">
        <f>IF(AND(ISNUMBER(B55),ISNUMBER(C55)),B55*C55,"")</f>
        <v/>
      </c>
      <c r="E55" s="30" t="n"/>
    </row>
    <row r="56">
      <c r="A56" s="29" t="n"/>
      <c r="B56" s="31" t="n"/>
      <c r="C56" s="30" t="n"/>
      <c r="D56" s="32">
        <f>IF(AND(ISNUMBER(B56),ISNUMBER(C56)),B56*C56,"")</f>
        <v/>
      </c>
      <c r="E56" s="30" t="n"/>
    </row>
    <row r="57">
      <c r="A57" s="29" t="n"/>
      <c r="B57" s="31" t="n"/>
      <c r="C57" s="30" t="n"/>
      <c r="D57" s="32">
        <f>IF(AND(ISNUMBER(B57),ISNUMBER(C57)),B57*C57,"")</f>
        <v/>
      </c>
      <c r="E57" s="30" t="n"/>
    </row>
    <row r="58">
      <c r="A58" s="29" t="n"/>
      <c r="B58" s="31" t="n"/>
      <c r="C58" s="30" t="n"/>
      <c r="D58" s="32">
        <f>IF(AND(ISNUMBER(B58),ISNUMBER(C58)),B58*C58,"")</f>
        <v/>
      </c>
      <c r="E58" s="30" t="n"/>
    </row>
    <row r="59">
      <c r="A59" s="29" t="n"/>
      <c r="B59" s="31" t="n"/>
      <c r="C59" s="30" t="n"/>
      <c r="D59" s="32">
        <f>IF(AND(ISNUMBER(B59),ISNUMBER(C59)),B59*C59,"")</f>
        <v/>
      </c>
      <c r="E59" s="30" t="n"/>
    </row>
    <row r="60">
      <c r="A60" s="29" t="n"/>
      <c r="B60" s="31" t="n"/>
      <c r="C60" s="30" t="n"/>
      <c r="D60" s="32">
        <f>IF(AND(ISNUMBER(B60),ISNUMBER(C60)),B60*C60,"")</f>
        <v/>
      </c>
      <c r="E60" s="30" t="n"/>
    </row>
    <row r="61">
      <c r="A61" s="29" t="n"/>
      <c r="B61" s="31" t="n"/>
      <c r="C61" s="30" t="n"/>
      <c r="D61" s="32">
        <f>IF(AND(ISNUMBER(B61),ISNUMBER(C61)),B61*C61,"")</f>
        <v/>
      </c>
      <c r="E61" s="30" t="n"/>
    </row>
    <row r="62">
      <c r="A62" s="29" t="n"/>
      <c r="B62" s="31" t="n"/>
      <c r="C62" s="30" t="n"/>
      <c r="D62" s="32">
        <f>IF(AND(ISNUMBER(B62),ISNUMBER(C62)),B62*C62,"")</f>
        <v/>
      </c>
      <c r="E62" s="30" t="n"/>
    </row>
    <row r="63">
      <c r="A63" s="29" t="n"/>
      <c r="B63" s="31" t="n"/>
      <c r="C63" s="30" t="n"/>
      <c r="D63" s="32">
        <f>IF(AND(ISNUMBER(B63),ISNUMBER(C63)),B63*C63,"")</f>
        <v/>
      </c>
      <c r="E63" s="30" t="n"/>
    </row>
    <row r="64">
      <c r="A64" s="29" t="n"/>
      <c r="B64" s="31" t="n"/>
      <c r="C64" s="30" t="n"/>
      <c r="D64" s="32">
        <f>IF(AND(ISNUMBER(B64),ISNUMBER(C64)),B64*C64,"")</f>
        <v/>
      </c>
      <c r="E64" s="30" t="n"/>
    </row>
    <row r="65">
      <c r="A65" s="29" t="n"/>
      <c r="B65" s="31" t="n"/>
      <c r="C65" s="30" t="n"/>
      <c r="D65" s="32">
        <f>IF(AND(ISNUMBER(B65),ISNUMBER(C65)),B65*C65,"")</f>
        <v/>
      </c>
      <c r="E65" s="30" t="n"/>
    </row>
    <row r="66">
      <c r="A66" s="29" t="n"/>
      <c r="B66" s="31" t="n"/>
      <c r="C66" s="30" t="n"/>
      <c r="D66" s="32">
        <f>IF(AND(ISNUMBER(B66),ISNUMBER(C66)),B66*C66,"")</f>
        <v/>
      </c>
      <c r="E66" s="30" t="n"/>
    </row>
    <row r="67">
      <c r="A67" s="29" t="n"/>
      <c r="B67" s="31" t="n"/>
      <c r="C67" s="30" t="n"/>
      <c r="D67" s="32">
        <f>IF(AND(ISNUMBER(B67),ISNUMBER(C67)),B67*C67,"")</f>
        <v/>
      </c>
      <c r="E67" s="30" t="n"/>
    </row>
    <row r="68">
      <c r="A68" s="29" t="n"/>
      <c r="B68" s="31" t="n"/>
      <c r="C68" s="30" t="n"/>
      <c r="D68" s="32">
        <f>IF(AND(ISNUMBER(B68),ISNUMBER(C68)),B68*C68,"")</f>
        <v/>
      </c>
      <c r="E68" s="30" t="n"/>
    </row>
    <row r="69">
      <c r="A69" s="29" t="n"/>
      <c r="B69" s="31" t="n"/>
      <c r="C69" s="30" t="n"/>
      <c r="D69" s="32">
        <f>IF(AND(ISNUMBER(B69),ISNUMBER(C69)),B69*C69,"")</f>
        <v/>
      </c>
      <c r="E69" s="30" t="n"/>
    </row>
    <row r="70">
      <c r="A70" s="29" t="n"/>
      <c r="B70" s="31" t="n"/>
      <c r="C70" s="30" t="n"/>
      <c r="D70" s="32">
        <f>IF(AND(ISNUMBER(B70),ISNUMBER(C70)),B70*C70,"")</f>
        <v/>
      </c>
      <c r="E70" s="30" t="n"/>
    </row>
    <row r="71">
      <c r="A71" s="29" t="n"/>
      <c r="B71" s="31" t="n"/>
      <c r="C71" s="30" t="n"/>
      <c r="D71" s="32">
        <f>IF(AND(ISNUMBER(B71),ISNUMBER(C71)),B71*C71,"")</f>
        <v/>
      </c>
      <c r="E71" s="30" t="n"/>
    </row>
    <row r="72">
      <c r="A72" s="29" t="n"/>
      <c r="B72" s="31" t="n"/>
      <c r="C72" s="30" t="n"/>
      <c r="D72" s="32">
        <f>IF(AND(ISNUMBER(B72),ISNUMBER(C72)),B72*C72,"")</f>
        <v/>
      </c>
      <c r="E72" s="30" t="n"/>
    </row>
    <row r="73">
      <c r="A73" s="29" t="n"/>
      <c r="B73" s="31" t="n"/>
      <c r="C73" s="30" t="n"/>
      <c r="D73" s="32">
        <f>IF(AND(ISNUMBER(B73),ISNUMBER(C73)),B73*C73,"")</f>
        <v/>
      </c>
      <c r="E73" s="30" t="n"/>
    </row>
    <row r="74">
      <c r="A74" s="29" t="n"/>
      <c r="B74" s="31" t="n"/>
      <c r="C74" s="30" t="n"/>
      <c r="D74" s="32">
        <f>IF(AND(ISNUMBER(B74),ISNUMBER(C74)),B74*C74,"")</f>
        <v/>
      </c>
      <c r="E74" s="30" t="n"/>
    </row>
    <row r="75">
      <c r="A75" s="29" t="n"/>
      <c r="B75" s="31" t="n"/>
      <c r="C75" s="30" t="n"/>
      <c r="D75" s="32">
        <f>IF(AND(ISNUMBER(B75),ISNUMBER(C75)),B75*C75,"")</f>
        <v/>
      </c>
      <c r="E75" s="30" t="n"/>
    </row>
    <row r="76">
      <c r="A76" s="29" t="n"/>
      <c r="B76" s="31" t="n"/>
      <c r="C76" s="30" t="n"/>
      <c r="D76" s="32">
        <f>IF(AND(ISNUMBER(B76),ISNUMBER(C76)),B76*C76,"")</f>
        <v/>
      </c>
      <c r="E76" s="30" t="n"/>
    </row>
    <row r="77">
      <c r="A77" s="29" t="n"/>
      <c r="B77" s="31" t="n"/>
      <c r="C77" s="30" t="n"/>
      <c r="D77" s="32">
        <f>IF(AND(ISNUMBER(B77),ISNUMBER(C77)),B77*C77,"")</f>
        <v/>
      </c>
      <c r="E77" s="30" t="n"/>
    </row>
    <row r="78">
      <c r="A78" s="29" t="n"/>
      <c r="B78" s="31" t="n"/>
      <c r="C78" s="30" t="n"/>
      <c r="D78" s="32">
        <f>IF(AND(ISNUMBER(B78),ISNUMBER(C78)),B78*C78,"")</f>
        <v/>
      </c>
      <c r="E78" s="30" t="n"/>
    </row>
    <row r="79">
      <c r="A79" s="29" t="n"/>
      <c r="B79" s="31" t="n"/>
      <c r="C79" s="30" t="n"/>
      <c r="D79" s="32">
        <f>IF(AND(ISNUMBER(B79),ISNUMBER(C79)),B79*C79,"")</f>
        <v/>
      </c>
      <c r="E79" s="30" t="n"/>
    </row>
    <row r="80">
      <c r="A80" s="29" t="n"/>
      <c r="B80" s="31" t="n"/>
      <c r="C80" s="30" t="n"/>
      <c r="D80" s="32">
        <f>IF(AND(ISNUMBER(B80),ISNUMBER(C80)),B80*C80,"")</f>
        <v/>
      </c>
      <c r="E80" s="30" t="n"/>
    </row>
    <row r="81">
      <c r="A81" s="29" t="n"/>
      <c r="B81" s="31" t="n"/>
      <c r="C81" s="30" t="n"/>
      <c r="D81" s="32">
        <f>IF(AND(ISNUMBER(B81),ISNUMBER(C81)),B81*C81,"")</f>
        <v/>
      </c>
      <c r="E81" s="30" t="n"/>
    </row>
    <row r="82">
      <c r="A82" s="29" t="n"/>
      <c r="B82" s="31" t="n"/>
      <c r="C82" s="30" t="n"/>
      <c r="D82" s="32">
        <f>IF(AND(ISNUMBER(B82),ISNUMBER(C82)),B82*C82,"")</f>
        <v/>
      </c>
      <c r="E82" s="30" t="n"/>
    </row>
    <row r="83">
      <c r="A83" s="29" t="n"/>
      <c r="B83" s="31" t="n"/>
      <c r="C83" s="30" t="n"/>
      <c r="D83" s="32">
        <f>IF(AND(ISNUMBER(B83),ISNUMBER(C83)),B83*C83,"")</f>
        <v/>
      </c>
      <c r="E83" s="30" t="n"/>
    </row>
    <row r="84">
      <c r="A84" s="29" t="n"/>
      <c r="B84" s="31" t="n"/>
      <c r="C84" s="30" t="n"/>
      <c r="D84" s="32">
        <f>IF(AND(ISNUMBER(B84),ISNUMBER(C84)),B84*C84,"")</f>
        <v/>
      </c>
      <c r="E84" s="30" t="n"/>
    </row>
    <row r="85">
      <c r="A85" s="29" t="n"/>
      <c r="B85" s="31" t="n"/>
      <c r="C85" s="30" t="n"/>
      <c r="D85" s="32">
        <f>IF(AND(ISNUMBER(B85),ISNUMBER(C85)),B85*C85,"")</f>
        <v/>
      </c>
      <c r="E85" s="30" t="n"/>
    </row>
    <row r="86">
      <c r="A86" s="29" t="n"/>
      <c r="B86" s="31" t="n"/>
      <c r="C86" s="30" t="n"/>
      <c r="D86" s="32">
        <f>IF(AND(ISNUMBER(B86),ISNUMBER(C86)),B86*C86,"")</f>
        <v/>
      </c>
      <c r="E86" s="30" t="n"/>
    </row>
    <row r="87">
      <c r="A87" s="29" t="n"/>
      <c r="B87" s="31" t="n"/>
      <c r="C87" s="30" t="n"/>
      <c r="D87" s="32">
        <f>IF(AND(ISNUMBER(B87),ISNUMBER(C87)),B87*C87,"")</f>
        <v/>
      </c>
      <c r="E87" s="30" t="n"/>
    </row>
    <row r="88">
      <c r="A88" s="29" t="n"/>
      <c r="B88" s="31" t="n"/>
      <c r="C88" s="30" t="n"/>
      <c r="D88" s="32">
        <f>IF(AND(ISNUMBER(B88),ISNUMBER(C88)),B88*C88,"")</f>
        <v/>
      </c>
      <c r="E88" s="30" t="n"/>
    </row>
    <row r="89">
      <c r="A89" s="29" t="n"/>
      <c r="B89" s="31" t="n"/>
      <c r="C89" s="30" t="n"/>
      <c r="D89" s="32">
        <f>IF(AND(ISNUMBER(B89),ISNUMBER(C89)),B89*C89,"")</f>
        <v/>
      </c>
      <c r="E89" s="30" t="n"/>
    </row>
    <row r="90">
      <c r="A90" s="29" t="n"/>
      <c r="B90" s="31" t="n"/>
      <c r="C90" s="30" t="n"/>
      <c r="D90" s="32">
        <f>IF(AND(ISNUMBER(B90),ISNUMBER(C90)),B90*C90,"")</f>
        <v/>
      </c>
      <c r="E90" s="30" t="n"/>
    </row>
    <row r="91">
      <c r="A91" s="29" t="n"/>
      <c r="B91" s="31" t="n"/>
      <c r="C91" s="30" t="n"/>
      <c r="D91" s="32">
        <f>IF(AND(ISNUMBER(B91),ISNUMBER(C91)),B91*C91,"")</f>
        <v/>
      </c>
      <c r="E91" s="30" t="n"/>
    </row>
    <row r="92">
      <c r="A92" s="29" t="n"/>
      <c r="B92" s="31" t="n"/>
      <c r="C92" s="30" t="n"/>
      <c r="D92" s="32">
        <f>IF(AND(ISNUMBER(B92),ISNUMBER(C92)),B92*C92,"")</f>
        <v/>
      </c>
      <c r="E92" s="30" t="n"/>
    </row>
    <row r="93">
      <c r="A93" s="29" t="n"/>
      <c r="B93" s="31" t="n"/>
      <c r="C93" s="30" t="n"/>
      <c r="D93" s="32">
        <f>IF(AND(ISNUMBER(B93),ISNUMBER(C93)),B93*C93,"")</f>
        <v/>
      </c>
      <c r="E93" s="30" t="n"/>
    </row>
    <row r="94">
      <c r="A94" s="29" t="n"/>
      <c r="B94" s="31" t="n"/>
      <c r="C94" s="30" t="n"/>
      <c r="D94" s="32">
        <f>IF(AND(ISNUMBER(B94),ISNUMBER(C94)),B94*C94,"")</f>
        <v/>
      </c>
      <c r="E94" s="30" t="n"/>
    </row>
    <row r="95">
      <c r="A95" s="29" t="n"/>
      <c r="B95" s="31" t="n"/>
      <c r="C95" s="30" t="n"/>
      <c r="D95" s="32">
        <f>IF(AND(ISNUMBER(B95),ISNUMBER(C95)),B95*C95,"")</f>
        <v/>
      </c>
      <c r="E95" s="30" t="n"/>
    </row>
    <row r="96">
      <c r="A96" s="29" t="n"/>
      <c r="B96" s="31" t="n"/>
      <c r="C96" s="30" t="n"/>
      <c r="D96" s="32">
        <f>IF(AND(ISNUMBER(B96),ISNUMBER(C96)),B96*C96,"")</f>
        <v/>
      </c>
      <c r="E96" s="30" t="n"/>
    </row>
    <row r="97">
      <c r="A97" s="29" t="n"/>
      <c r="B97" s="31" t="n"/>
      <c r="C97" s="30" t="n"/>
      <c r="D97" s="32">
        <f>IF(AND(ISNUMBER(B97),ISNUMBER(C97)),B97*C97,"")</f>
        <v/>
      </c>
      <c r="E97" s="30" t="n"/>
    </row>
    <row r="98">
      <c r="A98" s="29" t="n"/>
      <c r="B98" s="31" t="n"/>
      <c r="C98" s="30" t="n"/>
      <c r="D98" s="32">
        <f>IF(AND(ISNUMBER(B98),ISNUMBER(C98)),B98*C98,"")</f>
        <v/>
      </c>
      <c r="E98" s="30" t="n"/>
    </row>
    <row r="99">
      <c r="A99" s="29" t="n"/>
      <c r="B99" s="31" t="n"/>
      <c r="C99" s="30" t="n"/>
      <c r="D99" s="32">
        <f>IF(AND(ISNUMBER(B99),ISNUMBER(C99)),B99*C99,"")</f>
        <v/>
      </c>
      <c r="E99" s="30" t="n"/>
    </row>
    <row r="100">
      <c r="A100" s="29" t="n"/>
      <c r="B100" s="31" t="n"/>
      <c r="C100" s="30" t="n"/>
      <c r="D100" s="32">
        <f>IF(AND(ISNUMBER(B100),ISNUMBER(C100)),B100*C100,"")</f>
        <v/>
      </c>
      <c r="E100" s="30" t="n"/>
    </row>
    <row r="101">
      <c r="A101" s="29" t="n"/>
      <c r="B101" s="31" t="n"/>
      <c r="C101" s="30" t="n"/>
      <c r="D101" s="32">
        <f>IF(AND(ISNUMBER(B101),ISNUMBER(C101)),B101*C101,"")</f>
        <v/>
      </c>
      <c r="E101" s="30" t="n"/>
    </row>
    <row r="102">
      <c r="A102" s="29" t="n"/>
      <c r="B102" s="31" t="n"/>
      <c r="C102" s="30" t="n"/>
      <c r="D102" s="32">
        <f>IF(AND(ISNUMBER(B102),ISNUMBER(C102)),B102*C102,"")</f>
        <v/>
      </c>
      <c r="E102" s="30" t="n"/>
    </row>
    <row r="103">
      <c r="A103" s="29" t="n"/>
      <c r="B103" s="31" t="n"/>
      <c r="C103" s="30" t="n"/>
      <c r="D103" s="32">
        <f>IF(AND(ISNUMBER(B103),ISNUMBER(C103)),B103*C103,"")</f>
        <v/>
      </c>
      <c r="E103" s="30" t="n"/>
    </row>
    <row r="104">
      <c r="A104" s="29" t="n"/>
      <c r="B104" s="31" t="n"/>
      <c r="C104" s="30" t="n"/>
      <c r="D104" s="32">
        <f>IF(AND(ISNUMBER(B104),ISNUMBER(C104)),B104*C104,"")</f>
        <v/>
      </c>
      <c r="E104" s="30" t="n"/>
    </row>
    <row r="105">
      <c r="A105" s="29" t="n"/>
      <c r="B105" s="31" t="n"/>
      <c r="C105" s="30" t="n"/>
      <c r="D105" s="32">
        <f>IF(AND(ISNUMBER(B105),ISNUMBER(C105)),B105*C105,"")</f>
        <v/>
      </c>
      <c r="E105" s="30" t="n"/>
    </row>
    <row r="106">
      <c r="A106" s="29" t="n"/>
      <c r="B106" s="31" t="n"/>
      <c r="C106" s="30" t="n"/>
      <c r="D106" s="32">
        <f>IF(AND(ISNUMBER(B106),ISNUMBER(C106)),B106*C106,"")</f>
        <v/>
      </c>
      <c r="E106" s="30" t="n"/>
    </row>
    <row r="107">
      <c r="A107" s="29" t="n"/>
      <c r="B107" s="31" t="n"/>
      <c r="C107" s="30" t="n"/>
      <c r="D107" s="32">
        <f>IF(AND(ISNUMBER(B107),ISNUMBER(C107)),B107*C107,"")</f>
        <v/>
      </c>
      <c r="E107" s="30" t="n"/>
    </row>
    <row r="108">
      <c r="A108" s="29" t="n"/>
      <c r="B108" s="31" t="n"/>
      <c r="C108" s="30" t="n"/>
      <c r="D108" s="32">
        <f>IF(AND(ISNUMBER(B108),ISNUMBER(C108)),B108*C108,"")</f>
        <v/>
      </c>
      <c r="E108" s="30" t="n"/>
    </row>
    <row r="109">
      <c r="A109" s="29" t="n"/>
      <c r="B109" s="31" t="n"/>
      <c r="C109" s="30" t="n"/>
      <c r="D109" s="32">
        <f>IF(AND(ISNUMBER(B109),ISNUMBER(C109)),B109*C109,"")</f>
        <v/>
      </c>
      <c r="E109" s="30" t="n"/>
    </row>
    <row r="110">
      <c r="A110" s="29" t="n"/>
      <c r="B110" s="31" t="n"/>
      <c r="C110" s="30" t="n"/>
      <c r="D110" s="32">
        <f>IF(AND(ISNUMBER(B110),ISNUMBER(C110)),B110*C110,"")</f>
        <v/>
      </c>
      <c r="E110" s="30" t="n"/>
    </row>
    <row r="111">
      <c r="A111" s="29" t="n"/>
      <c r="B111" s="31" t="n"/>
      <c r="C111" s="30" t="n"/>
      <c r="D111" s="32">
        <f>IF(AND(ISNUMBER(B111),ISNUMBER(C111)),B111*C111,"")</f>
        <v/>
      </c>
      <c r="E111" s="30" t="n"/>
    </row>
    <row r="112">
      <c r="A112" s="29" t="n"/>
      <c r="B112" s="31" t="n"/>
      <c r="C112" s="30" t="n"/>
      <c r="D112" s="32">
        <f>IF(AND(ISNUMBER(B112),ISNUMBER(C112)),B112*C112,"")</f>
        <v/>
      </c>
      <c r="E112" s="30" t="n"/>
    </row>
    <row r="113">
      <c r="A113" s="29" t="n"/>
      <c r="B113" s="31" t="n"/>
      <c r="C113" s="30" t="n"/>
      <c r="D113" s="32">
        <f>IF(AND(ISNUMBER(B113),ISNUMBER(C113)),B113*C113,"")</f>
        <v/>
      </c>
      <c r="E113" s="30" t="n"/>
    </row>
    <row r="114">
      <c r="A114" s="29" t="n"/>
      <c r="B114" s="31" t="n"/>
      <c r="C114" s="30" t="n"/>
      <c r="D114" s="32">
        <f>IF(AND(ISNUMBER(B114),ISNUMBER(C114)),B114*C114,"")</f>
        <v/>
      </c>
      <c r="E114" s="30" t="n"/>
    </row>
    <row r="115">
      <c r="A115" s="29" t="n"/>
      <c r="B115" s="31" t="n"/>
      <c r="C115" s="30" t="n"/>
      <c r="D115" s="32">
        <f>IF(AND(ISNUMBER(B115),ISNUMBER(C115)),B115*C115,"")</f>
        <v/>
      </c>
      <c r="E115" s="30" t="n"/>
    </row>
    <row r="116">
      <c r="A116" s="29" t="n"/>
      <c r="B116" s="31" t="n"/>
      <c r="C116" s="30" t="n"/>
      <c r="D116" s="32">
        <f>IF(AND(ISNUMBER(B116),ISNUMBER(C116)),B116*C116,"")</f>
        <v/>
      </c>
      <c r="E116" s="30" t="n"/>
    </row>
    <row r="117">
      <c r="A117" s="29" t="n"/>
      <c r="B117" s="31" t="n"/>
      <c r="C117" s="30" t="n"/>
      <c r="D117" s="32">
        <f>IF(AND(ISNUMBER(B117),ISNUMBER(C117)),B117*C117,"")</f>
        <v/>
      </c>
      <c r="E117" s="30" t="n"/>
    </row>
    <row r="118">
      <c r="A118" s="29" t="n"/>
      <c r="B118" s="31" t="n"/>
      <c r="C118" s="30" t="n"/>
      <c r="D118" s="32">
        <f>IF(AND(ISNUMBER(B118),ISNUMBER(C118)),B118*C118,"")</f>
        <v/>
      </c>
      <c r="E118" s="30" t="n"/>
    </row>
    <row r="119">
      <c r="A119" s="29" t="n"/>
      <c r="B119" s="31" t="n"/>
      <c r="C119" s="30" t="n"/>
      <c r="D119" s="32">
        <f>IF(AND(ISNUMBER(B119),ISNUMBER(C119)),B119*C119,"")</f>
        <v/>
      </c>
      <c r="E119" s="30" t="n"/>
    </row>
    <row r="120">
      <c r="A120" s="29" t="n"/>
      <c r="B120" s="31" t="n"/>
      <c r="C120" s="30" t="n"/>
      <c r="D120" s="32">
        <f>IF(AND(ISNUMBER(B120),ISNUMBER(C120)),B120*C120,"")</f>
        <v/>
      </c>
      <c r="E120" s="30" t="n"/>
    </row>
    <row r="121">
      <c r="A121" s="29" t="n"/>
      <c r="B121" s="31" t="n"/>
      <c r="C121" s="30" t="n"/>
      <c r="D121" s="32">
        <f>IF(AND(ISNUMBER(B121),ISNUMBER(C121)),B121*C121,"")</f>
        <v/>
      </c>
      <c r="E121" s="30" t="n"/>
    </row>
    <row r="122">
      <c r="A122" s="29" t="n"/>
      <c r="B122" s="31" t="n"/>
      <c r="C122" s="30" t="n"/>
      <c r="D122" s="32">
        <f>IF(AND(ISNUMBER(B122),ISNUMBER(C122)),B122*C122,"")</f>
        <v/>
      </c>
      <c r="E122" s="30" t="n"/>
    </row>
    <row r="123">
      <c r="A123" s="29" t="n"/>
      <c r="B123" s="31" t="n"/>
      <c r="C123" s="30" t="n"/>
      <c r="D123" s="32">
        <f>IF(AND(ISNUMBER(B123),ISNUMBER(C123)),B123*C123,"")</f>
        <v/>
      </c>
      <c r="E123" s="30" t="n"/>
    </row>
    <row r="124">
      <c r="A124" s="29" t="n"/>
      <c r="B124" s="31" t="n"/>
      <c r="C124" s="30" t="n"/>
      <c r="D124" s="32">
        <f>IF(AND(ISNUMBER(B124),ISNUMBER(C124)),B124*C124,"")</f>
        <v/>
      </c>
      <c r="E124" s="30" t="n"/>
    </row>
    <row r="125">
      <c r="A125" s="29" t="n"/>
      <c r="B125" s="31" t="n"/>
      <c r="C125" s="30" t="n"/>
      <c r="D125" s="32">
        <f>IF(AND(ISNUMBER(B125),ISNUMBER(C125)),B125*C125,"")</f>
        <v/>
      </c>
      <c r="E125" s="30" t="n"/>
    </row>
    <row r="126">
      <c r="A126" s="29" t="n"/>
      <c r="B126" s="31" t="n"/>
      <c r="C126" s="30" t="n"/>
      <c r="D126" s="32">
        <f>IF(AND(ISNUMBER(B126),ISNUMBER(C126)),B126*C126,"")</f>
        <v/>
      </c>
      <c r="E126" s="30" t="n"/>
    </row>
    <row r="127">
      <c r="A127" s="29" t="n"/>
      <c r="B127" s="31" t="n"/>
      <c r="C127" s="30" t="n"/>
      <c r="D127" s="32">
        <f>IF(AND(ISNUMBER(B127),ISNUMBER(C127)),B127*C127,"")</f>
        <v/>
      </c>
      <c r="E127" s="30" t="n"/>
    </row>
    <row r="128">
      <c r="A128" s="29" t="n"/>
      <c r="B128" s="31" t="n"/>
      <c r="C128" s="30" t="n"/>
      <c r="D128" s="32">
        <f>IF(AND(ISNUMBER(B128),ISNUMBER(C128)),B128*C128,"")</f>
        <v/>
      </c>
      <c r="E128" s="30" t="n"/>
    </row>
    <row r="129">
      <c r="A129" s="29" t="n"/>
      <c r="B129" s="31" t="n"/>
      <c r="C129" s="30" t="n"/>
      <c r="D129" s="32">
        <f>IF(AND(ISNUMBER(B129),ISNUMBER(C129)),B129*C129,"")</f>
        <v/>
      </c>
      <c r="E129" s="30" t="n"/>
    </row>
    <row r="130">
      <c r="A130" s="29" t="n"/>
      <c r="B130" s="31" t="n"/>
      <c r="C130" s="30" t="n"/>
      <c r="D130" s="32">
        <f>IF(AND(ISNUMBER(B130),ISNUMBER(C130)),B130*C130,"")</f>
        <v/>
      </c>
      <c r="E130" s="30" t="n"/>
    </row>
    <row r="131">
      <c r="A131" s="29" t="n"/>
      <c r="B131" s="31" t="n"/>
      <c r="C131" s="30" t="n"/>
      <c r="D131" s="32">
        <f>IF(AND(ISNUMBER(B131),ISNUMBER(C131)),B131*C131,"")</f>
        <v/>
      </c>
      <c r="E131" s="30" t="n"/>
    </row>
    <row r="132">
      <c r="A132" s="29" t="n"/>
      <c r="B132" s="31" t="n"/>
      <c r="C132" s="30" t="n"/>
      <c r="D132" s="32">
        <f>IF(AND(ISNUMBER(B132),ISNUMBER(C132)),B132*C132,"")</f>
        <v/>
      </c>
      <c r="E132" s="30" t="n"/>
    </row>
    <row r="133">
      <c r="A133" s="29" t="n"/>
      <c r="B133" s="31" t="n"/>
      <c r="C133" s="30" t="n"/>
      <c r="D133" s="32">
        <f>IF(AND(ISNUMBER(B133),ISNUMBER(C133)),B133*C133,"")</f>
        <v/>
      </c>
      <c r="E133" s="30" t="n"/>
    </row>
    <row r="134">
      <c r="A134" s="29" t="n"/>
      <c r="B134" s="31" t="n"/>
      <c r="C134" s="30" t="n"/>
      <c r="D134" s="32">
        <f>IF(AND(ISNUMBER(B134),ISNUMBER(C134)),B134*C134,"")</f>
        <v/>
      </c>
      <c r="E134" s="30" t="n"/>
    </row>
    <row r="135">
      <c r="A135" s="29" t="n"/>
      <c r="B135" s="31" t="n"/>
      <c r="C135" s="30" t="n"/>
      <c r="D135" s="32">
        <f>IF(AND(ISNUMBER(B135),ISNUMBER(C135)),B135*C135,"")</f>
        <v/>
      </c>
      <c r="E135" s="30" t="n"/>
    </row>
    <row r="136">
      <c r="A136" s="29" t="n"/>
      <c r="B136" s="31" t="n"/>
      <c r="C136" s="30" t="n"/>
      <c r="D136" s="32">
        <f>IF(AND(ISNUMBER(B136),ISNUMBER(C136)),B136*C136,"")</f>
        <v/>
      </c>
      <c r="E136" s="30" t="n"/>
    </row>
    <row r="137">
      <c r="A137" s="29" t="n"/>
      <c r="B137" s="31" t="n"/>
      <c r="C137" s="30" t="n"/>
      <c r="D137" s="32">
        <f>IF(AND(ISNUMBER(B137),ISNUMBER(C137)),B137*C137,"")</f>
        <v/>
      </c>
      <c r="E137" s="30" t="n"/>
    </row>
    <row r="138">
      <c r="A138" s="29" t="n"/>
      <c r="B138" s="31" t="n"/>
      <c r="C138" s="30" t="n"/>
      <c r="D138" s="32">
        <f>IF(AND(ISNUMBER(B138),ISNUMBER(C138)),B138*C138,"")</f>
        <v/>
      </c>
      <c r="E138" s="30" t="n"/>
    </row>
    <row r="139">
      <c r="A139" s="29" t="n"/>
      <c r="B139" s="31" t="n"/>
      <c r="C139" s="30" t="n"/>
      <c r="D139" s="32">
        <f>IF(AND(ISNUMBER(B139),ISNUMBER(C139)),B139*C139,"")</f>
        <v/>
      </c>
      <c r="E139" s="30" t="n"/>
    </row>
    <row r="140">
      <c r="A140" s="29" t="n"/>
      <c r="B140" s="31" t="n"/>
      <c r="C140" s="30" t="n"/>
      <c r="D140" s="32">
        <f>IF(AND(ISNUMBER(B140),ISNUMBER(C140)),B140*C140,"")</f>
        <v/>
      </c>
      <c r="E140" s="30" t="n"/>
    </row>
    <row r="141">
      <c r="A141" s="29" t="n"/>
      <c r="B141" s="31" t="n"/>
      <c r="C141" s="30" t="n"/>
      <c r="D141" s="32">
        <f>IF(AND(ISNUMBER(B141),ISNUMBER(C141)),B141*C141,"")</f>
        <v/>
      </c>
      <c r="E141" s="30" t="n"/>
    </row>
    <row r="142">
      <c r="A142" s="29" t="n"/>
      <c r="B142" s="31" t="n"/>
      <c r="C142" s="30" t="n"/>
      <c r="D142" s="32">
        <f>IF(AND(ISNUMBER(B142),ISNUMBER(C142)),B142*C142,"")</f>
        <v/>
      </c>
      <c r="E142" s="30" t="n"/>
    </row>
    <row r="143">
      <c r="A143" s="29" t="n"/>
      <c r="B143" s="31" t="n"/>
      <c r="C143" s="30" t="n"/>
      <c r="D143" s="32">
        <f>IF(AND(ISNUMBER(B143),ISNUMBER(C143)),B143*C143,"")</f>
        <v/>
      </c>
      <c r="E143" s="30" t="n"/>
    </row>
    <row r="144">
      <c r="A144" s="29" t="n"/>
      <c r="B144" s="31" t="n"/>
      <c r="C144" s="30" t="n"/>
      <c r="D144" s="32">
        <f>IF(AND(ISNUMBER(B144),ISNUMBER(C144)),B144*C144,"")</f>
        <v/>
      </c>
      <c r="E144" s="30" t="n"/>
    </row>
    <row r="145">
      <c r="A145" s="29" t="n"/>
      <c r="B145" s="31" t="n"/>
      <c r="C145" s="30" t="n"/>
      <c r="D145" s="32">
        <f>IF(AND(ISNUMBER(B145),ISNUMBER(C145)),B145*C145,"")</f>
        <v/>
      </c>
      <c r="E145" s="30" t="n"/>
    </row>
    <row r="146">
      <c r="A146" s="29" t="n"/>
      <c r="B146" s="31" t="n"/>
      <c r="C146" s="30" t="n"/>
      <c r="D146" s="32">
        <f>IF(AND(ISNUMBER(B146),ISNUMBER(C146)),B146*C146,"")</f>
        <v/>
      </c>
      <c r="E146" s="30" t="n"/>
    </row>
    <row r="147">
      <c r="A147" s="29" t="n"/>
      <c r="B147" s="31" t="n"/>
      <c r="C147" s="30" t="n"/>
      <c r="D147" s="32">
        <f>IF(AND(ISNUMBER(B147),ISNUMBER(C147)),B147*C147,"")</f>
        <v/>
      </c>
      <c r="E147" s="30" t="n"/>
    </row>
    <row r="148">
      <c r="A148" s="29" t="n"/>
      <c r="B148" s="31" t="n"/>
      <c r="C148" s="30" t="n"/>
      <c r="D148" s="32">
        <f>IF(AND(ISNUMBER(B148),ISNUMBER(C148)),B148*C148,"")</f>
        <v/>
      </c>
      <c r="E148" s="30" t="n"/>
    </row>
    <row r="149">
      <c r="A149" s="29" t="n"/>
      <c r="B149" s="31" t="n"/>
      <c r="C149" s="30" t="n"/>
      <c r="D149" s="32">
        <f>IF(AND(ISNUMBER(B149),ISNUMBER(C149)),B149*C149,"")</f>
        <v/>
      </c>
      <c r="E149" s="30" t="n"/>
    </row>
    <row r="150">
      <c r="A150" s="29" t="n"/>
      <c r="B150" s="31" t="n"/>
      <c r="C150" s="30" t="n"/>
      <c r="D150" s="32">
        <f>IF(AND(ISNUMBER(B150),ISNUMBER(C150)),B150*C150,"")</f>
        <v/>
      </c>
      <c r="E150" s="30" t="n"/>
    </row>
    <row r="151">
      <c r="A151" s="29" t="n"/>
      <c r="B151" s="31" t="n"/>
      <c r="C151" s="30" t="n"/>
      <c r="D151" s="32">
        <f>IF(AND(ISNUMBER(B151),ISNUMBER(C151)),B151*C151,"")</f>
        <v/>
      </c>
      <c r="E151" s="30" t="n"/>
    </row>
    <row r="152">
      <c r="A152" s="29" t="n"/>
      <c r="B152" s="31" t="n"/>
      <c r="C152" s="30" t="n"/>
      <c r="D152" s="32">
        <f>IF(AND(ISNUMBER(B152),ISNUMBER(C152)),B152*C152,"")</f>
        <v/>
      </c>
      <c r="E152" s="30" t="n"/>
    </row>
    <row r="153">
      <c r="A153" s="29" t="n"/>
      <c r="B153" s="31" t="n"/>
      <c r="C153" s="30" t="n"/>
      <c r="D153" s="32">
        <f>IF(AND(ISNUMBER(B153),ISNUMBER(C153)),B153*C153,"")</f>
        <v/>
      </c>
      <c r="E153" s="30" t="n"/>
    </row>
    <row r="154">
      <c r="A154" s="29" t="n"/>
      <c r="B154" s="31" t="n"/>
      <c r="C154" s="30" t="n"/>
      <c r="D154" s="32">
        <f>IF(AND(ISNUMBER(B154),ISNUMBER(C154)),B154*C154,"")</f>
        <v/>
      </c>
      <c r="E154" s="30" t="n"/>
    </row>
    <row r="155">
      <c r="A155" s="29" t="n"/>
      <c r="B155" s="31" t="n"/>
      <c r="C155" s="30" t="n"/>
      <c r="D155" s="32">
        <f>IF(AND(ISNUMBER(B155),ISNUMBER(C155)),B155*C155,"")</f>
        <v/>
      </c>
      <c r="E155" s="30" t="n"/>
    </row>
    <row r="156">
      <c r="A156" s="29" t="n"/>
      <c r="B156" s="31" t="n"/>
      <c r="C156" s="30" t="n"/>
      <c r="D156" s="32">
        <f>IF(AND(ISNUMBER(B156),ISNUMBER(C156)),B156*C156,"")</f>
        <v/>
      </c>
      <c r="E156" s="30" t="n"/>
    </row>
    <row r="157">
      <c r="A157" s="29" t="n"/>
      <c r="B157" s="31" t="n"/>
      <c r="C157" s="30" t="n"/>
      <c r="D157" s="32">
        <f>IF(AND(ISNUMBER(B157),ISNUMBER(C157)),B157*C157,"")</f>
        <v/>
      </c>
      <c r="E157" s="30" t="n"/>
    </row>
    <row r="158">
      <c r="A158" s="29" t="n"/>
      <c r="B158" s="31" t="n"/>
      <c r="C158" s="30" t="n"/>
      <c r="D158" s="32">
        <f>IF(AND(ISNUMBER(B158),ISNUMBER(C158)),B158*C158,"")</f>
        <v/>
      </c>
      <c r="E158" s="30" t="n"/>
    </row>
    <row r="159">
      <c r="A159" s="29" t="n"/>
      <c r="B159" s="31" t="n"/>
      <c r="C159" s="30" t="n"/>
      <c r="D159" s="32">
        <f>IF(AND(ISNUMBER(B159),ISNUMBER(C159)),B159*C159,"")</f>
        <v/>
      </c>
      <c r="E159" s="30" t="n"/>
    </row>
    <row r="160">
      <c r="A160" s="29" t="n"/>
      <c r="B160" s="31" t="n"/>
      <c r="C160" s="30" t="n"/>
      <c r="D160" s="32">
        <f>IF(AND(ISNUMBER(B160),ISNUMBER(C160)),B160*C160,"")</f>
        <v/>
      </c>
      <c r="E160" s="30" t="n"/>
    </row>
    <row r="161">
      <c r="A161" s="29" t="n"/>
      <c r="B161" s="31" t="n"/>
      <c r="C161" s="30" t="n"/>
      <c r="D161" s="32">
        <f>IF(AND(ISNUMBER(B161),ISNUMBER(C161)),B161*C161,"")</f>
        <v/>
      </c>
      <c r="E161" s="30" t="n"/>
    </row>
    <row r="162">
      <c r="A162" s="29" t="n"/>
      <c r="B162" s="31" t="n"/>
      <c r="C162" s="30" t="n"/>
      <c r="D162" s="32">
        <f>IF(AND(ISNUMBER(B162),ISNUMBER(C162)),B162*C162,"")</f>
        <v/>
      </c>
      <c r="E162" s="30" t="n"/>
    </row>
    <row r="163">
      <c r="A163" s="29" t="n"/>
      <c r="B163" s="31" t="n"/>
      <c r="C163" s="30" t="n"/>
      <c r="D163" s="32">
        <f>IF(AND(ISNUMBER(B163),ISNUMBER(C163)),B163*C163,"")</f>
        <v/>
      </c>
      <c r="E163" s="30" t="n"/>
    </row>
    <row r="164">
      <c r="A164" s="29" t="n"/>
      <c r="B164" s="31" t="n"/>
      <c r="C164" s="30" t="n"/>
      <c r="D164" s="32">
        <f>IF(AND(ISNUMBER(B164),ISNUMBER(C164)),B164*C164,"")</f>
        <v/>
      </c>
      <c r="E164" s="30" t="n"/>
    </row>
    <row r="165">
      <c r="A165" s="29" t="n"/>
      <c r="B165" s="31" t="n"/>
      <c r="C165" s="30" t="n"/>
      <c r="D165" s="32">
        <f>IF(AND(ISNUMBER(B165),ISNUMBER(C165)),B165*C165,"")</f>
        <v/>
      </c>
      <c r="E165" s="30" t="n"/>
    </row>
    <row r="166">
      <c r="A166" s="29" t="n"/>
      <c r="B166" s="31" t="n"/>
      <c r="C166" s="30" t="n"/>
      <c r="D166" s="32">
        <f>IF(AND(ISNUMBER(B166),ISNUMBER(C166)),B166*C166,"")</f>
        <v/>
      </c>
      <c r="E166" s="30" t="n"/>
    </row>
    <row r="167">
      <c r="A167" s="29" t="n"/>
      <c r="B167" s="31" t="n"/>
      <c r="C167" s="30" t="n"/>
      <c r="D167" s="32">
        <f>IF(AND(ISNUMBER(B167),ISNUMBER(C167)),B167*C167,"")</f>
        <v/>
      </c>
      <c r="E167" s="30" t="n"/>
    </row>
    <row r="168">
      <c r="A168" s="29" t="n"/>
      <c r="B168" s="31" t="n"/>
      <c r="C168" s="30" t="n"/>
      <c r="D168" s="32">
        <f>IF(AND(ISNUMBER(B168),ISNUMBER(C168)),B168*C168,"")</f>
        <v/>
      </c>
      <c r="E168" s="30" t="n"/>
    </row>
    <row r="169">
      <c r="A169" s="29" t="n"/>
      <c r="B169" s="31" t="n"/>
      <c r="C169" s="30" t="n"/>
      <c r="D169" s="32">
        <f>IF(AND(ISNUMBER(B169),ISNUMBER(C169)),B169*C169,"")</f>
        <v/>
      </c>
      <c r="E169" s="30" t="n"/>
    </row>
    <row r="170">
      <c r="A170" s="29" t="n"/>
      <c r="B170" s="31" t="n"/>
      <c r="C170" s="30" t="n"/>
      <c r="D170" s="32">
        <f>IF(AND(ISNUMBER(B170),ISNUMBER(C170)),B170*C170,"")</f>
        <v/>
      </c>
      <c r="E170" s="30" t="n"/>
    </row>
    <row r="171">
      <c r="A171" s="29" t="n"/>
      <c r="B171" s="31" t="n"/>
      <c r="C171" s="30" t="n"/>
      <c r="D171" s="32">
        <f>IF(AND(ISNUMBER(B171),ISNUMBER(C171)),B171*C171,"")</f>
        <v/>
      </c>
      <c r="E171" s="30" t="n"/>
    </row>
    <row r="172">
      <c r="A172" s="29" t="n"/>
      <c r="B172" s="31" t="n"/>
      <c r="C172" s="30" t="n"/>
      <c r="D172" s="32">
        <f>IF(AND(ISNUMBER(B172),ISNUMBER(C172)),B172*C172,"")</f>
        <v/>
      </c>
      <c r="E172" s="30" t="n"/>
    </row>
    <row r="173">
      <c r="A173" s="29" t="n"/>
      <c r="B173" s="31" t="n"/>
      <c r="C173" s="30" t="n"/>
      <c r="D173" s="32">
        <f>IF(AND(ISNUMBER(B173),ISNUMBER(C173)),B173*C173,"")</f>
        <v/>
      </c>
      <c r="E173" s="30" t="n"/>
    </row>
    <row r="174">
      <c r="A174" s="29" t="n"/>
      <c r="B174" s="31" t="n"/>
      <c r="C174" s="30" t="n"/>
      <c r="D174" s="32">
        <f>IF(AND(ISNUMBER(B174),ISNUMBER(C174)),B174*C174,"")</f>
        <v/>
      </c>
      <c r="E174" s="30" t="n"/>
    </row>
    <row r="175">
      <c r="A175" s="29" t="n"/>
      <c r="B175" s="31" t="n"/>
      <c r="C175" s="30" t="n"/>
      <c r="D175" s="32">
        <f>IF(AND(ISNUMBER(B175),ISNUMBER(C175)),B175*C175,"")</f>
        <v/>
      </c>
      <c r="E175" s="30" t="n"/>
    </row>
    <row r="176">
      <c r="A176" s="29" t="n"/>
      <c r="B176" s="31" t="n"/>
      <c r="C176" s="30" t="n"/>
      <c r="D176" s="32">
        <f>IF(AND(ISNUMBER(B176),ISNUMBER(C176)),B176*C176,"")</f>
        <v/>
      </c>
      <c r="E176" s="30" t="n"/>
    </row>
    <row r="177">
      <c r="A177" s="29" t="n"/>
      <c r="B177" s="31" t="n"/>
      <c r="C177" s="30" t="n"/>
      <c r="D177" s="32">
        <f>IF(AND(ISNUMBER(B177),ISNUMBER(C177)),B177*C177,"")</f>
        <v/>
      </c>
      <c r="E177" s="30" t="n"/>
    </row>
    <row r="178">
      <c r="A178" s="29" t="n"/>
      <c r="B178" s="31" t="n"/>
      <c r="C178" s="30" t="n"/>
      <c r="D178" s="32">
        <f>IF(AND(ISNUMBER(B178),ISNUMBER(C178)),B178*C178,"")</f>
        <v/>
      </c>
      <c r="E178" s="30" t="n"/>
    </row>
    <row r="179">
      <c r="A179" s="29" t="n"/>
      <c r="B179" s="31" t="n"/>
      <c r="C179" s="30" t="n"/>
      <c r="D179" s="32">
        <f>IF(AND(ISNUMBER(B179),ISNUMBER(C179)),B179*C179,"")</f>
        <v/>
      </c>
      <c r="E179" s="30" t="n"/>
    </row>
    <row r="180">
      <c r="A180" s="29" t="n"/>
      <c r="B180" s="31" t="n"/>
      <c r="C180" s="30" t="n"/>
      <c r="D180" s="32">
        <f>IF(AND(ISNUMBER(B180),ISNUMBER(C180)),B180*C180,"")</f>
        <v/>
      </c>
      <c r="E180" s="30" t="n"/>
    </row>
    <row r="181">
      <c r="A181" s="29" t="n"/>
      <c r="B181" s="31" t="n"/>
      <c r="C181" s="30" t="n"/>
      <c r="D181" s="32">
        <f>IF(AND(ISNUMBER(B181),ISNUMBER(C181)),B181*C181,"")</f>
        <v/>
      </c>
      <c r="E181" s="30" t="n"/>
    </row>
    <row r="182">
      <c r="A182" s="29" t="n"/>
      <c r="B182" s="31" t="n"/>
      <c r="C182" s="30" t="n"/>
      <c r="D182" s="32">
        <f>IF(AND(ISNUMBER(B182),ISNUMBER(C182)),B182*C182,"")</f>
        <v/>
      </c>
      <c r="E182" s="30" t="n"/>
    </row>
    <row r="183">
      <c r="A183" s="29" t="n"/>
      <c r="B183" s="31" t="n"/>
      <c r="C183" s="30" t="n"/>
      <c r="D183" s="32">
        <f>IF(AND(ISNUMBER(B183),ISNUMBER(C183)),B183*C183,"")</f>
        <v/>
      </c>
      <c r="E183" s="30" t="n"/>
    </row>
    <row r="184">
      <c r="A184" s="29" t="n"/>
      <c r="B184" s="31" t="n"/>
      <c r="C184" s="30" t="n"/>
      <c r="D184" s="32">
        <f>IF(AND(ISNUMBER(B184),ISNUMBER(C184)),B184*C184,"")</f>
        <v/>
      </c>
      <c r="E184" s="30" t="n"/>
    </row>
    <row r="185">
      <c r="A185" s="29" t="n"/>
      <c r="B185" s="31" t="n"/>
      <c r="C185" s="30" t="n"/>
      <c r="D185" s="32">
        <f>IF(AND(ISNUMBER(B185),ISNUMBER(C185)),B185*C185,"")</f>
        <v/>
      </c>
      <c r="E185" s="30" t="n"/>
    </row>
    <row r="186">
      <c r="A186" s="29" t="n"/>
      <c r="B186" s="31" t="n"/>
      <c r="C186" s="30" t="n"/>
      <c r="D186" s="32">
        <f>IF(AND(ISNUMBER(B186),ISNUMBER(C186)),B186*C186,"")</f>
        <v/>
      </c>
      <c r="E186" s="30" t="n"/>
    </row>
    <row r="187">
      <c r="A187" s="29" t="n"/>
      <c r="B187" s="31" t="n"/>
      <c r="C187" s="30" t="n"/>
      <c r="D187" s="32">
        <f>IF(AND(ISNUMBER(B187),ISNUMBER(C187)),B187*C187,"")</f>
        <v/>
      </c>
      <c r="E187" s="30" t="n"/>
    </row>
    <row r="188">
      <c r="A188" s="29" t="n"/>
      <c r="B188" s="31" t="n"/>
      <c r="C188" s="30" t="n"/>
      <c r="D188" s="32">
        <f>IF(AND(ISNUMBER(B188),ISNUMBER(C188)),B188*C188,"")</f>
        <v/>
      </c>
      <c r="E188" s="30" t="n"/>
    </row>
    <row r="189">
      <c r="A189" s="29" t="n"/>
      <c r="B189" s="31" t="n"/>
      <c r="C189" s="30" t="n"/>
      <c r="D189" s="32">
        <f>IF(AND(ISNUMBER(B189),ISNUMBER(C189)),B189*C189,"")</f>
        <v/>
      </c>
      <c r="E189" s="30" t="n"/>
    </row>
    <row r="190">
      <c r="A190" s="29" t="n"/>
      <c r="B190" s="31" t="n"/>
      <c r="C190" s="30" t="n"/>
      <c r="D190" s="32">
        <f>IF(AND(ISNUMBER(B190),ISNUMBER(C190)),B190*C190,"")</f>
        <v/>
      </c>
      <c r="E190" s="30" t="n"/>
    </row>
    <row r="191">
      <c r="A191" s="29" t="n"/>
      <c r="B191" s="31" t="n"/>
      <c r="C191" s="30" t="n"/>
      <c r="D191" s="32">
        <f>IF(AND(ISNUMBER(B191),ISNUMBER(C191)),B191*C191,"")</f>
        <v/>
      </c>
      <c r="E191" s="30" t="n"/>
    </row>
    <row r="192">
      <c r="A192" s="29" t="n"/>
      <c r="B192" s="31" t="n"/>
      <c r="C192" s="30" t="n"/>
      <c r="D192" s="32">
        <f>IF(AND(ISNUMBER(B192),ISNUMBER(C192)),B192*C192,"")</f>
        <v/>
      </c>
      <c r="E192" s="30" t="n"/>
    </row>
    <row r="193">
      <c r="A193" s="29" t="n"/>
      <c r="B193" s="31" t="n"/>
      <c r="C193" s="30" t="n"/>
      <c r="D193" s="32">
        <f>IF(AND(ISNUMBER(B193),ISNUMBER(C193)),B193*C193,"")</f>
        <v/>
      </c>
      <c r="E193" s="30" t="n"/>
    </row>
    <row r="194">
      <c r="A194" s="29" t="n"/>
      <c r="B194" s="31" t="n"/>
      <c r="C194" s="30" t="n"/>
      <c r="D194" s="32">
        <f>IF(AND(ISNUMBER(B194),ISNUMBER(C194)),B194*C194,"")</f>
        <v/>
      </c>
      <c r="E194" s="30" t="n"/>
    </row>
    <row r="195">
      <c r="A195" s="29" t="n"/>
      <c r="B195" s="31" t="n"/>
      <c r="C195" s="30" t="n"/>
      <c r="D195" s="32">
        <f>IF(AND(ISNUMBER(B195),ISNUMBER(C195)),B195*C195,"")</f>
        <v/>
      </c>
      <c r="E195" s="30" t="n"/>
    </row>
    <row r="196">
      <c r="A196" s="29" t="n"/>
      <c r="B196" s="31" t="n"/>
      <c r="C196" s="30" t="n"/>
      <c r="D196" s="32">
        <f>IF(AND(ISNUMBER(B196),ISNUMBER(C196)),B196*C196,"")</f>
        <v/>
      </c>
      <c r="E196" s="30" t="n"/>
    </row>
    <row r="197">
      <c r="A197" s="29" t="n"/>
      <c r="B197" s="31" t="n"/>
      <c r="C197" s="30" t="n"/>
      <c r="D197" s="32">
        <f>IF(AND(ISNUMBER(B197),ISNUMBER(C197)),B197*C197,"")</f>
        <v/>
      </c>
      <c r="E197" s="30" t="n"/>
    </row>
    <row r="198">
      <c r="A198" s="29" t="n"/>
      <c r="B198" s="31" t="n"/>
      <c r="C198" s="30" t="n"/>
      <c r="D198" s="32">
        <f>IF(AND(ISNUMBER(B198),ISNUMBER(C198)),B198*C198,"")</f>
        <v/>
      </c>
      <c r="E198" s="30" t="n"/>
    </row>
    <row r="199">
      <c r="A199" s="29" t="n"/>
      <c r="B199" s="31" t="n"/>
      <c r="C199" s="30" t="n"/>
      <c r="D199" s="32">
        <f>IF(AND(ISNUMBER(B199),ISNUMBER(C199)),B199*C199,"")</f>
        <v/>
      </c>
      <c r="E199" s="30" t="n"/>
    </row>
    <row r="200">
      <c r="A200" s="29" t="n"/>
      <c r="B200" s="31" t="n"/>
      <c r="C200" s="30" t="n"/>
      <c r="D200" s="32">
        <f>IF(AND(ISNUMBER(B200),ISNUMBER(C200)),B200*C200,"")</f>
        <v/>
      </c>
      <c r="E200" s="30" t="n"/>
    </row>
    <row r="201">
      <c r="A201" s="29" t="n"/>
      <c r="B201" s="31" t="n"/>
      <c r="C201" s="30" t="n"/>
      <c r="D201" s="32">
        <f>IF(AND(ISNUMBER(B201),ISNUMBER(C201)),B201*C201,"")</f>
        <v/>
      </c>
      <c r="E201" s="30" t="n"/>
    </row>
    <row r="202">
      <c r="A202" s="29" t="n"/>
      <c r="B202" s="31" t="n"/>
      <c r="C202" s="30" t="n"/>
      <c r="D202" s="32">
        <f>IF(AND(ISNUMBER(B202),ISNUMBER(C202)),B202*C202,"")</f>
        <v/>
      </c>
      <c r="E202" s="30" t="n"/>
    </row>
    <row r="203">
      <c r="A203" s="29" t="n"/>
      <c r="B203" s="31" t="n"/>
      <c r="C203" s="30" t="n"/>
      <c r="D203" s="32">
        <f>IF(AND(ISNUMBER(B203),ISNUMBER(C203)),B203*C203,"")</f>
        <v/>
      </c>
      <c r="E203" s="30" t="n"/>
    </row>
    <row r="204">
      <c r="A204" s="29" t="n"/>
      <c r="B204" s="31" t="n"/>
      <c r="C204" s="30" t="n"/>
      <c r="D204" s="32">
        <f>IF(AND(ISNUMBER(B204),ISNUMBER(C204)),B204*C204,"")</f>
        <v/>
      </c>
      <c r="E204" s="30" t="n"/>
    </row>
    <row r="205">
      <c r="A205" s="29" t="n"/>
      <c r="B205" s="31" t="n"/>
      <c r="C205" s="30" t="n"/>
      <c r="D205" s="32">
        <f>IF(AND(ISNUMBER(B205),ISNUMBER(C205)),B205*C205,"")</f>
        <v/>
      </c>
      <c r="E205" s="30" t="n"/>
    </row>
    <row r="206">
      <c r="A206" s="29" t="n"/>
      <c r="B206" s="31" t="n"/>
      <c r="C206" s="30" t="n"/>
      <c r="D206" s="32">
        <f>IF(AND(ISNUMBER(B206),ISNUMBER(C206)),B206*C206,"")</f>
        <v/>
      </c>
      <c r="E206" s="30" t="n"/>
    </row>
    <row r="207">
      <c r="A207" s="29" t="n"/>
      <c r="B207" s="31" t="n"/>
      <c r="C207" s="30" t="n"/>
      <c r="D207" s="32">
        <f>IF(AND(ISNUMBER(B207),ISNUMBER(C207)),B207*C207,"")</f>
        <v/>
      </c>
      <c r="E207" s="30" t="n"/>
    </row>
    <row r="208">
      <c r="A208" s="29" t="n"/>
      <c r="B208" s="31" t="n"/>
      <c r="C208" s="30" t="n"/>
      <c r="D208" s="32">
        <f>IF(AND(ISNUMBER(B208),ISNUMBER(C208)),B208*C208,"")</f>
        <v/>
      </c>
      <c r="E208" s="30" t="n"/>
    </row>
    <row r="209">
      <c r="A209" s="29" t="n"/>
      <c r="B209" s="31" t="n"/>
      <c r="C209" s="30" t="n"/>
      <c r="D209" s="32">
        <f>IF(AND(ISNUMBER(B209),ISNUMBER(C209)),B209*C209,"")</f>
        <v/>
      </c>
      <c r="E209" s="30" t="n"/>
    </row>
    <row r="210">
      <c r="A210" s="29" t="n"/>
      <c r="B210" s="31" t="n"/>
      <c r="C210" s="30" t="n"/>
      <c r="D210" s="32">
        <f>IF(AND(ISNUMBER(B210),ISNUMBER(C210)),B210*C210,"")</f>
        <v/>
      </c>
      <c r="E210" s="30" t="n"/>
    </row>
    <row r="211">
      <c r="A211" s="29" t="n"/>
      <c r="B211" s="31" t="n"/>
      <c r="C211" s="30" t="n"/>
      <c r="D211" s="32">
        <f>IF(AND(ISNUMBER(B211),ISNUMBER(C211)),B211*C211,"")</f>
        <v/>
      </c>
      <c r="E211" s="30" t="n"/>
    </row>
    <row r="212">
      <c r="A212" s="29" t="n"/>
      <c r="B212" s="31" t="n"/>
      <c r="C212" s="30" t="n"/>
      <c r="D212" s="32">
        <f>IF(AND(ISNUMBER(B212),ISNUMBER(C212)),B212*C212,"")</f>
        <v/>
      </c>
      <c r="E212" s="30" t="n"/>
    </row>
    <row r="213">
      <c r="A213" s="29" t="n"/>
      <c r="B213" s="31" t="n"/>
      <c r="C213" s="30" t="n"/>
      <c r="D213" s="32">
        <f>IF(AND(ISNUMBER(B213),ISNUMBER(C213)),B213*C213,"")</f>
        <v/>
      </c>
      <c r="E213" s="30" t="n"/>
    </row>
    <row r="214">
      <c r="A214" s="29" t="n"/>
      <c r="B214" s="31" t="n"/>
      <c r="C214" s="30" t="n"/>
      <c r="D214" s="32">
        <f>IF(AND(ISNUMBER(B214),ISNUMBER(C214)),B214*C214,"")</f>
        <v/>
      </c>
      <c r="E214" s="30" t="n"/>
    </row>
    <row r="215">
      <c r="A215" s="29" t="n"/>
      <c r="B215" s="31" t="n"/>
      <c r="C215" s="30" t="n"/>
      <c r="D215" s="32">
        <f>IF(AND(ISNUMBER(B215),ISNUMBER(C215)),B215*C215,"")</f>
        <v/>
      </c>
      <c r="E215" s="30" t="n"/>
    </row>
    <row r="216">
      <c r="A216" s="29" t="n"/>
      <c r="B216" s="31" t="n"/>
      <c r="C216" s="30" t="n"/>
      <c r="D216" s="32">
        <f>IF(AND(ISNUMBER(B216),ISNUMBER(C216)),B216*C216,"")</f>
        <v/>
      </c>
      <c r="E216" s="30" t="n"/>
    </row>
    <row r="217">
      <c r="A217" s="29" t="n"/>
      <c r="B217" s="31" t="n"/>
      <c r="C217" s="30" t="n"/>
      <c r="D217" s="32">
        <f>IF(AND(ISNUMBER(B217),ISNUMBER(C217)),B217*C217,"")</f>
        <v/>
      </c>
      <c r="E217" s="30" t="n"/>
    </row>
    <row r="218">
      <c r="A218" s="29" t="n"/>
      <c r="B218" s="31" t="n"/>
      <c r="C218" s="30" t="n"/>
      <c r="D218" s="32">
        <f>IF(AND(ISNUMBER(B218),ISNUMBER(C218)),B218*C218,"")</f>
        <v/>
      </c>
      <c r="E218" s="30" t="n"/>
    </row>
    <row r="219">
      <c r="A219" s="29" t="n"/>
      <c r="B219" s="31" t="n"/>
      <c r="C219" s="30" t="n"/>
      <c r="D219" s="32">
        <f>IF(AND(ISNUMBER(B219),ISNUMBER(C219)),B219*C219,"")</f>
        <v/>
      </c>
      <c r="E219" s="30" t="n"/>
    </row>
    <row r="220">
      <c r="A220" s="29" t="n"/>
      <c r="B220" s="31" t="n"/>
      <c r="C220" s="30" t="n"/>
      <c r="D220" s="32">
        <f>IF(AND(ISNUMBER(B220),ISNUMBER(C220)),B220*C220,"")</f>
        <v/>
      </c>
      <c r="E220" s="30" t="n"/>
    </row>
    <row r="221">
      <c r="A221" s="29" t="n"/>
      <c r="B221" s="31" t="n"/>
      <c r="C221" s="30" t="n"/>
      <c r="D221" s="32">
        <f>IF(AND(ISNUMBER(B221),ISNUMBER(C221)),B221*C221,"")</f>
        <v/>
      </c>
      <c r="E221" s="30" t="n"/>
    </row>
    <row r="222">
      <c r="A222" s="29" t="n"/>
      <c r="B222" s="31" t="n"/>
      <c r="C222" s="30" t="n"/>
      <c r="D222" s="32">
        <f>IF(AND(ISNUMBER(B222),ISNUMBER(C222)),B222*C222,"")</f>
        <v/>
      </c>
      <c r="E222" s="30" t="n"/>
    </row>
    <row r="223">
      <c r="A223" s="29" t="n"/>
      <c r="B223" s="31" t="n"/>
      <c r="C223" s="30" t="n"/>
      <c r="D223" s="32">
        <f>IF(AND(ISNUMBER(B223),ISNUMBER(C223)),B223*C223,"")</f>
        <v/>
      </c>
      <c r="E223" s="30" t="n"/>
    </row>
    <row r="224">
      <c r="A224" s="29" t="n"/>
      <c r="B224" s="31" t="n"/>
      <c r="C224" s="30" t="n"/>
      <c r="D224" s="32">
        <f>IF(AND(ISNUMBER(B224),ISNUMBER(C224)),B224*C224,"")</f>
        <v/>
      </c>
      <c r="E224" s="30" t="n"/>
    </row>
    <row r="225">
      <c r="A225" s="29" t="n"/>
      <c r="B225" s="31" t="n"/>
      <c r="C225" s="30" t="n"/>
      <c r="D225" s="32">
        <f>IF(AND(ISNUMBER(B225),ISNUMBER(C225)),B225*C225,"")</f>
        <v/>
      </c>
      <c r="E225" s="30" t="n"/>
    </row>
    <row r="226">
      <c r="A226" s="29" t="n"/>
      <c r="B226" s="31" t="n"/>
      <c r="C226" s="30" t="n"/>
      <c r="D226" s="32">
        <f>IF(AND(ISNUMBER(B226),ISNUMBER(C226)),B226*C226,"")</f>
        <v/>
      </c>
      <c r="E226" s="30" t="n"/>
    </row>
    <row r="227">
      <c r="A227" s="29" t="n"/>
      <c r="B227" s="31" t="n"/>
      <c r="C227" s="30" t="n"/>
      <c r="D227" s="32">
        <f>IF(AND(ISNUMBER(B227),ISNUMBER(C227)),B227*C227,"")</f>
        <v/>
      </c>
      <c r="E227" s="30" t="n"/>
    </row>
    <row r="228">
      <c r="A228" s="29" t="n"/>
      <c r="B228" s="31" t="n"/>
      <c r="C228" s="30" t="n"/>
      <c r="D228" s="32">
        <f>IF(AND(ISNUMBER(B228),ISNUMBER(C228)),B228*C228,"")</f>
        <v/>
      </c>
      <c r="E228" s="30" t="n"/>
    </row>
    <row r="229">
      <c r="A229" s="29" t="n"/>
      <c r="B229" s="31" t="n"/>
      <c r="C229" s="30" t="n"/>
      <c r="D229" s="32">
        <f>IF(AND(ISNUMBER(B229),ISNUMBER(C229)),B229*C229,"")</f>
        <v/>
      </c>
      <c r="E229" s="30" t="n"/>
    </row>
    <row r="230">
      <c r="A230" s="29" t="n"/>
      <c r="B230" s="31" t="n"/>
      <c r="C230" s="30" t="n"/>
      <c r="D230" s="32">
        <f>IF(AND(ISNUMBER(B230),ISNUMBER(C230)),B230*C230,"")</f>
        <v/>
      </c>
      <c r="E230" s="30" t="n"/>
    </row>
    <row r="231">
      <c r="A231" s="29" t="n"/>
      <c r="B231" s="31" t="n"/>
      <c r="C231" s="30" t="n"/>
      <c r="D231" s="32">
        <f>IF(AND(ISNUMBER(B231),ISNUMBER(C231)),B231*C231,"")</f>
        <v/>
      </c>
      <c r="E231" s="30" t="n"/>
    </row>
    <row r="232">
      <c r="A232" s="29" t="n"/>
      <c r="B232" s="31" t="n"/>
      <c r="C232" s="30" t="n"/>
      <c r="D232" s="32">
        <f>IF(AND(ISNUMBER(B232),ISNUMBER(C232)),B232*C232,"")</f>
        <v/>
      </c>
      <c r="E232" s="30" t="n"/>
    </row>
    <row r="233">
      <c r="A233" s="29" t="n"/>
      <c r="B233" s="31" t="n"/>
      <c r="C233" s="30" t="n"/>
      <c r="D233" s="32">
        <f>IF(AND(ISNUMBER(B233),ISNUMBER(C233)),B233*C233,"")</f>
        <v/>
      </c>
      <c r="E233" s="30" t="n"/>
    </row>
    <row r="234">
      <c r="A234" s="29" t="n"/>
      <c r="B234" s="31" t="n"/>
      <c r="C234" s="30" t="n"/>
      <c r="D234" s="32">
        <f>IF(AND(ISNUMBER(B234),ISNUMBER(C234)),B234*C234,"")</f>
        <v/>
      </c>
      <c r="E234" s="30" t="n"/>
    </row>
    <row r="235">
      <c r="A235" s="29" t="n"/>
      <c r="B235" s="31" t="n"/>
      <c r="C235" s="30" t="n"/>
      <c r="D235" s="32">
        <f>IF(AND(ISNUMBER(B235),ISNUMBER(C235)),B235*C235,"")</f>
        <v/>
      </c>
      <c r="E235" s="30" t="n"/>
    </row>
    <row r="236">
      <c r="A236" s="29" t="n"/>
      <c r="B236" s="31" t="n"/>
      <c r="C236" s="30" t="n"/>
      <c r="D236" s="32">
        <f>IF(AND(ISNUMBER(B236),ISNUMBER(C236)),B236*C236,"")</f>
        <v/>
      </c>
      <c r="E236" s="30" t="n"/>
    </row>
    <row r="237">
      <c r="A237" s="29" t="n"/>
      <c r="B237" s="31" t="n"/>
      <c r="C237" s="30" t="n"/>
      <c r="D237" s="32">
        <f>IF(AND(ISNUMBER(B237),ISNUMBER(C237)),B237*C237,"")</f>
        <v/>
      </c>
      <c r="E237" s="30" t="n"/>
    </row>
    <row r="238">
      <c r="A238" s="29" t="n"/>
      <c r="B238" s="31" t="n"/>
      <c r="C238" s="30" t="n"/>
      <c r="D238" s="32">
        <f>IF(AND(ISNUMBER(B238),ISNUMBER(C238)),B238*C238,"")</f>
        <v/>
      </c>
      <c r="E238" s="30" t="n"/>
    </row>
    <row r="239">
      <c r="A239" s="29" t="n"/>
      <c r="B239" s="31" t="n"/>
      <c r="C239" s="30" t="n"/>
      <c r="D239" s="32">
        <f>IF(AND(ISNUMBER(B239),ISNUMBER(C239)),B239*C239,"")</f>
        <v/>
      </c>
      <c r="E239" s="30" t="n"/>
    </row>
    <row r="240">
      <c r="A240" s="29" t="n"/>
      <c r="B240" s="31" t="n"/>
      <c r="C240" s="30" t="n"/>
      <c r="D240" s="32">
        <f>IF(AND(ISNUMBER(B240),ISNUMBER(C240)),B240*C240,"")</f>
        <v/>
      </c>
      <c r="E240" s="30" t="n"/>
    </row>
    <row r="241">
      <c r="A241" s="29" t="n"/>
      <c r="B241" s="31" t="n"/>
      <c r="C241" s="30" t="n"/>
      <c r="D241" s="32">
        <f>IF(AND(ISNUMBER(B241),ISNUMBER(C241)),B241*C241,"")</f>
        <v/>
      </c>
      <c r="E241" s="30" t="n"/>
    </row>
    <row r="242">
      <c r="A242" s="29" t="n"/>
      <c r="B242" s="31" t="n"/>
      <c r="C242" s="30" t="n"/>
      <c r="D242" s="32">
        <f>IF(AND(ISNUMBER(B242),ISNUMBER(C242)),B242*C242,"")</f>
        <v/>
      </c>
      <c r="E242" s="30" t="n"/>
    </row>
    <row r="243">
      <c r="A243" s="29" t="n"/>
      <c r="B243" s="31" t="n"/>
      <c r="C243" s="30" t="n"/>
      <c r="D243" s="32">
        <f>IF(AND(ISNUMBER(B243),ISNUMBER(C243)),B243*C243,"")</f>
        <v/>
      </c>
      <c r="E243" s="30" t="n"/>
    </row>
    <row r="244">
      <c r="A244" s="29" t="n"/>
      <c r="B244" s="31" t="n"/>
      <c r="C244" s="30" t="n"/>
      <c r="D244" s="32">
        <f>IF(AND(ISNUMBER(B244),ISNUMBER(C244)),B244*C244,"")</f>
        <v/>
      </c>
      <c r="E244" s="30" t="n"/>
    </row>
    <row r="245">
      <c r="A245" s="29" t="n"/>
      <c r="B245" s="31" t="n"/>
      <c r="C245" s="30" t="n"/>
      <c r="D245" s="32">
        <f>IF(AND(ISNUMBER(B245),ISNUMBER(C245)),B245*C245,"")</f>
        <v/>
      </c>
      <c r="E245" s="30" t="n"/>
    </row>
    <row r="246">
      <c r="A246" s="29" t="n"/>
      <c r="B246" s="31" t="n"/>
      <c r="C246" s="30" t="n"/>
      <c r="D246" s="32">
        <f>IF(AND(ISNUMBER(B246),ISNUMBER(C246)),B246*C246,"")</f>
        <v/>
      </c>
      <c r="E246" s="30" t="n"/>
    </row>
    <row r="247">
      <c r="A247" s="29" t="n"/>
      <c r="B247" s="31" t="n"/>
      <c r="C247" s="30" t="n"/>
      <c r="D247" s="32">
        <f>IF(AND(ISNUMBER(B247),ISNUMBER(C247)),B247*C247,"")</f>
        <v/>
      </c>
      <c r="E247" s="30" t="n"/>
    </row>
    <row r="248">
      <c r="A248" s="29" t="n"/>
      <c r="B248" s="31" t="n"/>
      <c r="C248" s="30" t="n"/>
      <c r="D248" s="32">
        <f>IF(AND(ISNUMBER(B248),ISNUMBER(C248)),B248*C248,"")</f>
        <v/>
      </c>
      <c r="E248" s="30" t="n"/>
    </row>
    <row r="249">
      <c r="A249" s="29" t="n"/>
      <c r="B249" s="31" t="n"/>
      <c r="C249" s="30" t="n"/>
      <c r="D249" s="32">
        <f>IF(AND(ISNUMBER(B249),ISNUMBER(C249)),B249*C249,"")</f>
        <v/>
      </c>
      <c r="E249" s="30" t="n"/>
    </row>
    <row r="250">
      <c r="A250" s="29" t="n"/>
      <c r="B250" s="31" t="n"/>
      <c r="C250" s="30" t="n"/>
      <c r="D250" s="32">
        <f>IF(AND(ISNUMBER(B250),ISNUMBER(C250)),B250*C250,"")</f>
        <v/>
      </c>
      <c r="E250" s="30" t="n"/>
    </row>
    <row r="251">
      <c r="A251" s="29" t="n"/>
      <c r="B251" s="31" t="n"/>
      <c r="C251" s="30" t="n"/>
      <c r="D251" s="32">
        <f>IF(AND(ISNUMBER(B251),ISNUMBER(C251)),B251*C251,"")</f>
        <v/>
      </c>
      <c r="E251" s="30" t="n"/>
    </row>
    <row r="252">
      <c r="A252" s="29" t="n"/>
      <c r="B252" s="31" t="n"/>
      <c r="C252" s="30" t="n"/>
      <c r="D252" s="32">
        <f>IF(AND(ISNUMBER(B252),ISNUMBER(C252)),B252*C252,"")</f>
        <v/>
      </c>
      <c r="E252" s="30" t="n"/>
    </row>
    <row r="253">
      <c r="A253" s="29" t="n"/>
      <c r="B253" s="31" t="n"/>
      <c r="C253" s="30" t="n"/>
      <c r="D253" s="32">
        <f>IF(AND(ISNUMBER(B253),ISNUMBER(C253)),B253*C253,"")</f>
        <v/>
      </c>
      <c r="E253" s="30" t="n"/>
    </row>
    <row r="254">
      <c r="A254" s="29" t="n"/>
      <c r="B254" s="31" t="n"/>
      <c r="C254" s="30" t="n"/>
      <c r="D254" s="32">
        <f>IF(AND(ISNUMBER(B254),ISNUMBER(C254)),B254*C254,"")</f>
        <v/>
      </c>
      <c r="E254" s="30" t="n"/>
    </row>
    <row r="255">
      <c r="A255" s="29" t="n"/>
      <c r="B255" s="31" t="n"/>
      <c r="C255" s="30" t="n"/>
      <c r="D255" s="32">
        <f>IF(AND(ISNUMBER(B255),ISNUMBER(C255)),B255*C255,"")</f>
        <v/>
      </c>
      <c r="E255" s="30" t="n"/>
    </row>
    <row r="256">
      <c r="A256" s="29" t="n"/>
      <c r="B256" s="31" t="n"/>
      <c r="C256" s="30" t="n"/>
      <c r="D256" s="32">
        <f>IF(AND(ISNUMBER(B256),ISNUMBER(C256)),B256*C256,"")</f>
        <v/>
      </c>
      <c r="E256" s="30" t="n"/>
    </row>
    <row r="257">
      <c r="A257" s="29" t="n"/>
      <c r="B257" s="31" t="n"/>
      <c r="C257" s="30" t="n"/>
      <c r="D257" s="32">
        <f>IF(AND(ISNUMBER(B257),ISNUMBER(C257)),B257*C257,"")</f>
        <v/>
      </c>
      <c r="E257" s="30" t="n"/>
    </row>
    <row r="258">
      <c r="A258" s="29" t="n"/>
      <c r="B258" s="31" t="n"/>
      <c r="C258" s="30" t="n"/>
      <c r="D258" s="32">
        <f>IF(AND(ISNUMBER(B258),ISNUMBER(C258)),B258*C258,"")</f>
        <v/>
      </c>
      <c r="E258" s="30" t="n"/>
    </row>
    <row r="259">
      <c r="A259" s="29" t="n"/>
      <c r="B259" s="31" t="n"/>
      <c r="C259" s="30" t="n"/>
      <c r="D259" s="32">
        <f>IF(AND(ISNUMBER(B259),ISNUMBER(C259)),B259*C259,"")</f>
        <v/>
      </c>
      <c r="E259" s="30" t="n"/>
    </row>
    <row r="260">
      <c r="A260" s="29" t="n"/>
      <c r="B260" s="31" t="n"/>
      <c r="C260" s="30" t="n"/>
      <c r="D260" s="32">
        <f>IF(AND(ISNUMBER(B260),ISNUMBER(C260)),B260*C260,"")</f>
        <v/>
      </c>
      <c r="E260" s="30" t="n"/>
    </row>
    <row r="261">
      <c r="A261" s="29" t="n"/>
      <c r="B261" s="31" t="n"/>
      <c r="C261" s="30" t="n"/>
      <c r="D261" s="32">
        <f>IF(AND(ISNUMBER(B261),ISNUMBER(C261)),B261*C261,"")</f>
        <v/>
      </c>
      <c r="E261" s="30" t="n"/>
    </row>
    <row r="262">
      <c r="A262" s="29" t="n"/>
      <c r="B262" s="31" t="n"/>
      <c r="C262" s="30" t="n"/>
      <c r="D262" s="32">
        <f>IF(AND(ISNUMBER(B262),ISNUMBER(C262)),B262*C262,"")</f>
        <v/>
      </c>
      <c r="E262" s="30" t="n"/>
    </row>
    <row r="263">
      <c r="A263" s="29" t="n"/>
      <c r="B263" s="31" t="n"/>
      <c r="C263" s="30" t="n"/>
      <c r="D263" s="32">
        <f>IF(AND(ISNUMBER(B263),ISNUMBER(C263)),B263*C263,"")</f>
        <v/>
      </c>
      <c r="E263" s="30" t="n"/>
    </row>
    <row r="264">
      <c r="A264" s="29" t="n"/>
      <c r="B264" s="31" t="n"/>
      <c r="C264" s="30" t="n"/>
      <c r="D264" s="32">
        <f>IF(AND(ISNUMBER(B264),ISNUMBER(C264)),B264*C264,"")</f>
        <v/>
      </c>
      <c r="E264" s="30" t="n"/>
    </row>
    <row r="265">
      <c r="A265" s="29" t="n"/>
      <c r="B265" s="31" t="n"/>
      <c r="C265" s="30" t="n"/>
      <c r="D265" s="32">
        <f>IF(AND(ISNUMBER(B265),ISNUMBER(C265)),B265*C265,"")</f>
        <v/>
      </c>
      <c r="E265" s="30" t="n"/>
    </row>
    <row r="266">
      <c r="A266" s="29" t="n"/>
      <c r="B266" s="31" t="n"/>
      <c r="C266" s="30" t="n"/>
      <c r="D266" s="32">
        <f>IF(AND(ISNUMBER(B266),ISNUMBER(C266)),B266*C266,"")</f>
        <v/>
      </c>
      <c r="E266" s="30" t="n"/>
    </row>
    <row r="267">
      <c r="A267" s="29" t="n"/>
      <c r="B267" s="31" t="n"/>
      <c r="C267" s="30" t="n"/>
      <c r="D267" s="32">
        <f>IF(AND(ISNUMBER(B267),ISNUMBER(C267)),B267*C267,"")</f>
        <v/>
      </c>
      <c r="E267" s="30" t="n"/>
    </row>
    <row r="268">
      <c r="A268" s="29" t="n"/>
      <c r="B268" s="31" t="n"/>
      <c r="C268" s="30" t="n"/>
      <c r="D268" s="32">
        <f>IF(AND(ISNUMBER(B268),ISNUMBER(C268)),B268*C268,"")</f>
        <v/>
      </c>
      <c r="E268" s="30" t="n"/>
    </row>
    <row r="269">
      <c r="A269" s="29" t="n"/>
      <c r="B269" s="31" t="n"/>
      <c r="C269" s="30" t="n"/>
      <c r="D269" s="32">
        <f>IF(AND(ISNUMBER(B269),ISNUMBER(C269)),B269*C269,"")</f>
        <v/>
      </c>
      <c r="E269" s="30" t="n"/>
    </row>
    <row r="270">
      <c r="A270" s="29" t="n"/>
      <c r="B270" s="31" t="n"/>
      <c r="C270" s="30" t="n"/>
      <c r="D270" s="32">
        <f>IF(AND(ISNUMBER(B270),ISNUMBER(C270)),B270*C270,"")</f>
        <v/>
      </c>
      <c r="E270" s="30" t="n"/>
    </row>
    <row r="271">
      <c r="A271" s="29" t="n"/>
      <c r="B271" s="31" t="n"/>
      <c r="C271" s="30" t="n"/>
      <c r="D271" s="32">
        <f>IF(AND(ISNUMBER(B271),ISNUMBER(C271)),B271*C271,"")</f>
        <v/>
      </c>
      <c r="E271" s="30" t="n"/>
    </row>
    <row r="272">
      <c r="A272" s="29" t="n"/>
      <c r="B272" s="31" t="n"/>
      <c r="C272" s="30" t="n"/>
      <c r="D272" s="32">
        <f>IF(AND(ISNUMBER(B272),ISNUMBER(C272)),B272*C272,"")</f>
        <v/>
      </c>
      <c r="E272" s="30" t="n"/>
    </row>
    <row r="273">
      <c r="A273" s="29" t="n"/>
      <c r="B273" s="31" t="n"/>
      <c r="C273" s="30" t="n"/>
      <c r="D273" s="32">
        <f>IF(AND(ISNUMBER(B273),ISNUMBER(C273)),B273*C273,"")</f>
        <v/>
      </c>
      <c r="E273" s="30" t="n"/>
    </row>
    <row r="274">
      <c r="A274" s="29" t="n"/>
      <c r="B274" s="31" t="n"/>
      <c r="C274" s="30" t="n"/>
      <c r="D274" s="32">
        <f>IF(AND(ISNUMBER(B274),ISNUMBER(C274)),B274*C274,"")</f>
        <v/>
      </c>
      <c r="E274" s="30" t="n"/>
    </row>
    <row r="275">
      <c r="A275" s="29" t="n"/>
      <c r="B275" s="31" t="n"/>
      <c r="C275" s="30" t="n"/>
      <c r="D275" s="32">
        <f>IF(AND(ISNUMBER(B275),ISNUMBER(C275)),B275*C275,"")</f>
        <v/>
      </c>
      <c r="E275" s="30" t="n"/>
    </row>
    <row r="276">
      <c r="A276" s="29" t="n"/>
      <c r="B276" s="31" t="n"/>
      <c r="C276" s="30" t="n"/>
      <c r="D276" s="32">
        <f>IF(AND(ISNUMBER(B276),ISNUMBER(C276)),B276*C276,"")</f>
        <v/>
      </c>
      <c r="E276" s="30" t="n"/>
    </row>
    <row r="277">
      <c r="A277" s="29" t="n"/>
      <c r="B277" s="31" t="n"/>
      <c r="C277" s="30" t="n"/>
      <c r="D277" s="32">
        <f>IF(AND(ISNUMBER(B277),ISNUMBER(C277)),B277*C277,"")</f>
        <v/>
      </c>
      <c r="E277" s="30" t="n"/>
    </row>
    <row r="278">
      <c r="A278" s="29" t="n"/>
      <c r="B278" s="31" t="n"/>
      <c r="C278" s="30" t="n"/>
      <c r="D278" s="32">
        <f>IF(AND(ISNUMBER(B278),ISNUMBER(C278)),B278*C278,"")</f>
        <v/>
      </c>
      <c r="E278" s="30" t="n"/>
    </row>
    <row r="279">
      <c r="A279" s="29" t="n"/>
      <c r="B279" s="31" t="n"/>
      <c r="C279" s="30" t="n"/>
      <c r="D279" s="32">
        <f>IF(AND(ISNUMBER(B279),ISNUMBER(C279)),B279*C279,"")</f>
        <v/>
      </c>
      <c r="E279" s="30" t="n"/>
    </row>
    <row r="280">
      <c r="A280" s="29" t="n"/>
      <c r="B280" s="31" t="n"/>
      <c r="C280" s="30" t="n"/>
      <c r="D280" s="32">
        <f>IF(AND(ISNUMBER(B280),ISNUMBER(C280)),B280*C280,"")</f>
        <v/>
      </c>
      <c r="E280" s="30" t="n"/>
    </row>
    <row r="281">
      <c r="A281" s="29" t="n"/>
      <c r="B281" s="31" t="n"/>
      <c r="C281" s="30" t="n"/>
      <c r="D281" s="32">
        <f>IF(AND(ISNUMBER(B281),ISNUMBER(C281)),B281*C281,"")</f>
        <v/>
      </c>
      <c r="E281" s="30" t="n"/>
    </row>
    <row r="282">
      <c r="A282" s="29" t="n"/>
      <c r="B282" s="31" t="n"/>
      <c r="C282" s="30" t="n"/>
      <c r="D282" s="32">
        <f>IF(AND(ISNUMBER(B282),ISNUMBER(C282)),B282*C282,"")</f>
        <v/>
      </c>
      <c r="E282" s="30" t="n"/>
    </row>
    <row r="283">
      <c r="A283" s="29" t="n"/>
      <c r="B283" s="31" t="n"/>
      <c r="C283" s="30" t="n"/>
      <c r="D283" s="32">
        <f>IF(AND(ISNUMBER(B283),ISNUMBER(C283)),B283*C283,"")</f>
        <v/>
      </c>
      <c r="E283" s="30" t="n"/>
    </row>
    <row r="284">
      <c r="A284" s="29" t="n"/>
      <c r="B284" s="31" t="n"/>
      <c r="C284" s="30" t="n"/>
      <c r="D284" s="32">
        <f>IF(AND(ISNUMBER(B284),ISNUMBER(C284)),B284*C284,"")</f>
        <v/>
      </c>
      <c r="E284" s="30" t="n"/>
    </row>
    <row r="285">
      <c r="A285" s="29" t="n"/>
      <c r="B285" s="31" t="n"/>
      <c r="C285" s="30" t="n"/>
      <c r="D285" s="32">
        <f>IF(AND(ISNUMBER(B285),ISNUMBER(C285)),B285*C285,"")</f>
        <v/>
      </c>
      <c r="E285" s="30" t="n"/>
    </row>
    <row r="286">
      <c r="A286" s="29" t="n"/>
      <c r="B286" s="31" t="n"/>
      <c r="C286" s="30" t="n"/>
      <c r="D286" s="32">
        <f>IF(AND(ISNUMBER(B286),ISNUMBER(C286)),B286*C286,"")</f>
        <v/>
      </c>
      <c r="E286" s="30" t="n"/>
    </row>
    <row r="287">
      <c r="A287" s="29" t="n"/>
      <c r="B287" s="31" t="n"/>
      <c r="C287" s="30" t="n"/>
      <c r="D287" s="32">
        <f>IF(AND(ISNUMBER(B287),ISNUMBER(C287)),B287*C287,"")</f>
        <v/>
      </c>
      <c r="E287" s="30" t="n"/>
    </row>
    <row r="288">
      <c r="A288" s="29" t="n"/>
      <c r="B288" s="31" t="n"/>
      <c r="C288" s="30" t="n"/>
      <c r="D288" s="32">
        <f>IF(AND(ISNUMBER(B288),ISNUMBER(C288)),B288*C288,"")</f>
        <v/>
      </c>
      <c r="E288" s="30" t="n"/>
    </row>
    <row r="289">
      <c r="A289" s="29" t="n"/>
      <c r="B289" s="31" t="n"/>
      <c r="C289" s="30" t="n"/>
      <c r="D289" s="32">
        <f>IF(AND(ISNUMBER(B289),ISNUMBER(C289)),B289*C289,"")</f>
        <v/>
      </c>
      <c r="E289" s="30" t="n"/>
    </row>
    <row r="290">
      <c r="A290" s="29" t="n"/>
      <c r="B290" s="31" t="n"/>
      <c r="C290" s="30" t="n"/>
      <c r="D290" s="32">
        <f>IF(AND(ISNUMBER(B290),ISNUMBER(C290)),B290*C290,"")</f>
        <v/>
      </c>
      <c r="E290" s="30" t="n"/>
    </row>
    <row r="291">
      <c r="A291" s="29" t="n"/>
      <c r="B291" s="31" t="n"/>
      <c r="C291" s="30" t="n"/>
      <c r="D291" s="32">
        <f>IF(AND(ISNUMBER(B291),ISNUMBER(C291)),B291*C291,"")</f>
        <v/>
      </c>
      <c r="E291" s="30" t="n"/>
    </row>
    <row r="292">
      <c r="A292" s="29" t="n"/>
      <c r="B292" s="31" t="n"/>
      <c r="C292" s="30" t="n"/>
      <c r="D292" s="32">
        <f>IF(AND(ISNUMBER(B292),ISNUMBER(C292)),B292*C292,"")</f>
        <v/>
      </c>
      <c r="E292" s="30" t="n"/>
    </row>
    <row r="293">
      <c r="A293" s="29" t="n"/>
      <c r="B293" s="31" t="n"/>
      <c r="C293" s="30" t="n"/>
      <c r="D293" s="32">
        <f>IF(AND(ISNUMBER(B293),ISNUMBER(C293)),B293*C293,"")</f>
        <v/>
      </c>
      <c r="E293" s="30" t="n"/>
    </row>
    <row r="294">
      <c r="A294" s="29" t="n"/>
      <c r="B294" s="31" t="n"/>
      <c r="C294" s="30" t="n"/>
      <c r="D294" s="32">
        <f>IF(AND(ISNUMBER(B294),ISNUMBER(C294)),B294*C294,"")</f>
        <v/>
      </c>
      <c r="E294" s="30" t="n"/>
    </row>
    <row r="295">
      <c r="A295" s="29" t="n"/>
      <c r="B295" s="31" t="n"/>
      <c r="C295" s="30" t="n"/>
      <c r="D295" s="32">
        <f>IF(AND(ISNUMBER(B295),ISNUMBER(C295)),B295*C295,"")</f>
        <v/>
      </c>
      <c r="E295" s="30" t="n"/>
    </row>
    <row r="296">
      <c r="A296" s="29" t="n"/>
      <c r="B296" s="31" t="n"/>
      <c r="C296" s="30" t="n"/>
      <c r="D296" s="32">
        <f>IF(AND(ISNUMBER(B296),ISNUMBER(C296)),B296*C296,"")</f>
        <v/>
      </c>
      <c r="E296" s="30" t="n"/>
    </row>
    <row r="297">
      <c r="A297" s="29" t="n"/>
      <c r="B297" s="31" t="n"/>
      <c r="C297" s="30" t="n"/>
      <c r="D297" s="32">
        <f>IF(AND(ISNUMBER(B297),ISNUMBER(C297)),B297*C297,"")</f>
        <v/>
      </c>
      <c r="E297" s="30" t="n"/>
    </row>
    <row r="298">
      <c r="A298" s="29" t="n"/>
      <c r="B298" s="31" t="n"/>
      <c r="C298" s="30" t="n"/>
      <c r="D298" s="32">
        <f>IF(AND(ISNUMBER(B298),ISNUMBER(C298)),B298*C298,"")</f>
        <v/>
      </c>
      <c r="E298" s="30" t="n"/>
    </row>
    <row r="299">
      <c r="A299" s="29" t="n"/>
      <c r="B299" s="31" t="n"/>
      <c r="C299" s="30" t="n"/>
      <c r="D299" s="32">
        <f>IF(AND(ISNUMBER(B299),ISNUMBER(C299)),B299*C299,"")</f>
        <v/>
      </c>
      <c r="E299" s="30" t="n"/>
    </row>
    <row r="300">
      <c r="A300" s="29" t="n"/>
      <c r="B300" s="31" t="n"/>
      <c r="C300" s="30" t="n"/>
      <c r="D300" s="32">
        <f>IF(AND(ISNUMBER(B300),ISNUMBER(C300)),B300*C300,"")</f>
        <v/>
      </c>
      <c r="E300" s="30" t="n"/>
    </row>
    <row r="301">
      <c r="A301" s="29" t="n"/>
      <c r="B301" s="31" t="n"/>
      <c r="C301" s="30" t="n"/>
      <c r="D301" s="32">
        <f>IF(AND(ISNUMBER(B301),ISNUMBER(C301)),B301*C301,"")</f>
        <v/>
      </c>
      <c r="E301" s="30" t="n"/>
    </row>
    <row r="302">
      <c r="A302" s="29" t="n"/>
      <c r="B302" s="31" t="n"/>
      <c r="C302" s="30" t="n"/>
      <c r="D302" s="32">
        <f>IF(AND(ISNUMBER(B302),ISNUMBER(C302)),B302*C302,"")</f>
        <v/>
      </c>
      <c r="E302" s="30" t="n"/>
    </row>
    <row r="303">
      <c r="A303" s="29" t="n"/>
      <c r="B303" s="31" t="n"/>
      <c r="C303" s="30" t="n"/>
      <c r="D303" s="32">
        <f>IF(AND(ISNUMBER(B303),ISNUMBER(C303)),B303*C303,"")</f>
        <v/>
      </c>
      <c r="E303" s="30" t="n"/>
    </row>
    <row r="304">
      <c r="A304" s="29" t="n"/>
      <c r="B304" s="31" t="n"/>
      <c r="C304" s="30" t="n"/>
      <c r="D304" s="32">
        <f>IF(AND(ISNUMBER(B304),ISNUMBER(C304)),B304*C304,"")</f>
        <v/>
      </c>
      <c r="E304" s="30" t="n"/>
    </row>
    <row r="305">
      <c r="A305" s="29" t="n"/>
      <c r="B305" s="31" t="n"/>
      <c r="C305" s="30" t="n"/>
      <c r="D305" s="32">
        <f>IF(AND(ISNUMBER(B305),ISNUMBER(C305)),B305*C305,"")</f>
        <v/>
      </c>
      <c r="E305" s="30" t="n"/>
    </row>
    <row r="306">
      <c r="A306" s="29" t="n"/>
      <c r="B306" s="31" t="n"/>
      <c r="C306" s="30" t="n"/>
      <c r="D306" s="32">
        <f>IF(AND(ISNUMBER(B306),ISNUMBER(C306)),B306*C306,"")</f>
        <v/>
      </c>
      <c r="E306" s="30" t="n"/>
    </row>
    <row r="307">
      <c r="A307" s="29" t="n"/>
      <c r="B307" s="31" t="n"/>
      <c r="C307" s="30" t="n"/>
      <c r="D307" s="32">
        <f>IF(AND(ISNUMBER(B307),ISNUMBER(C307)),B307*C307,"")</f>
        <v/>
      </c>
      <c r="E307" s="30" t="n"/>
    </row>
    <row r="308">
      <c r="A308" s="29" t="n"/>
      <c r="B308" s="31" t="n"/>
      <c r="C308" s="30" t="n"/>
      <c r="D308" s="32">
        <f>IF(AND(ISNUMBER(B308),ISNUMBER(C308)),B308*C308,"")</f>
        <v/>
      </c>
      <c r="E308" s="30" t="n"/>
    </row>
    <row r="309">
      <c r="A309" s="29" t="n"/>
      <c r="B309" s="31" t="n"/>
      <c r="C309" s="30" t="n"/>
      <c r="D309" s="32">
        <f>IF(AND(ISNUMBER(B309),ISNUMBER(C309)),B309*C309,"")</f>
        <v/>
      </c>
      <c r="E309" s="30" t="n"/>
    </row>
    <row r="310">
      <c r="A310" s="29" t="n"/>
      <c r="B310" s="31" t="n"/>
      <c r="C310" s="30" t="n"/>
      <c r="D310" s="32">
        <f>IF(AND(ISNUMBER(B310),ISNUMBER(C310)),B310*C310,"")</f>
        <v/>
      </c>
      <c r="E310" s="30" t="n"/>
    </row>
    <row r="311">
      <c r="A311" s="29" t="n"/>
      <c r="B311" s="31" t="n"/>
      <c r="C311" s="30" t="n"/>
      <c r="D311" s="32">
        <f>IF(AND(ISNUMBER(B311),ISNUMBER(C311)),B311*C311,"")</f>
        <v/>
      </c>
      <c r="E311" s="30" t="n"/>
    </row>
    <row r="312">
      <c r="A312" s="29" t="n"/>
      <c r="B312" s="31" t="n"/>
      <c r="C312" s="30" t="n"/>
      <c r="D312" s="32">
        <f>IF(AND(ISNUMBER(B312),ISNUMBER(C312)),B312*C312,"")</f>
        <v/>
      </c>
      <c r="E312" s="30" t="n"/>
    </row>
    <row r="313">
      <c r="A313" s="29" t="n"/>
      <c r="B313" s="31" t="n"/>
      <c r="C313" s="30" t="n"/>
      <c r="D313" s="32">
        <f>IF(AND(ISNUMBER(B313),ISNUMBER(C313)),B313*C313,"")</f>
        <v/>
      </c>
      <c r="E313" s="30" t="n"/>
    </row>
    <row r="314">
      <c r="A314" s="29" t="n"/>
      <c r="B314" s="31" t="n"/>
      <c r="C314" s="30" t="n"/>
      <c r="D314" s="32">
        <f>IF(AND(ISNUMBER(B314),ISNUMBER(C314)),B314*C314,"")</f>
        <v/>
      </c>
      <c r="E314" s="30" t="n"/>
    </row>
    <row r="315">
      <c r="A315" s="29" t="n"/>
      <c r="B315" s="31" t="n"/>
      <c r="C315" s="30" t="n"/>
      <c r="D315" s="32">
        <f>IF(AND(ISNUMBER(B315),ISNUMBER(C315)),B315*C315,"")</f>
        <v/>
      </c>
      <c r="E315" s="30" t="n"/>
    </row>
    <row r="316">
      <c r="A316" s="29" t="n"/>
      <c r="B316" s="31" t="n"/>
      <c r="C316" s="30" t="n"/>
      <c r="D316" s="32">
        <f>IF(AND(ISNUMBER(B316),ISNUMBER(C316)),B316*C316,"")</f>
        <v/>
      </c>
      <c r="E316" s="30" t="n"/>
    </row>
    <row r="317">
      <c r="A317" s="29" t="n"/>
      <c r="B317" s="31" t="n"/>
      <c r="C317" s="30" t="n"/>
      <c r="D317" s="32">
        <f>IF(AND(ISNUMBER(B317),ISNUMBER(C317)),B317*C317,"")</f>
        <v/>
      </c>
      <c r="E317" s="30" t="n"/>
    </row>
    <row r="318">
      <c r="A318" s="29" t="n"/>
      <c r="B318" s="31" t="n"/>
      <c r="C318" s="30" t="n"/>
      <c r="D318" s="32">
        <f>IF(AND(ISNUMBER(B318),ISNUMBER(C318)),B318*C318,"")</f>
        <v/>
      </c>
      <c r="E318" s="30" t="n"/>
    </row>
    <row r="319">
      <c r="A319" s="29" t="n"/>
      <c r="B319" s="31" t="n"/>
      <c r="C319" s="30" t="n"/>
      <c r="D319" s="32">
        <f>IF(AND(ISNUMBER(B319),ISNUMBER(C319)),B319*C319,"")</f>
        <v/>
      </c>
      <c r="E319" s="30" t="n"/>
    </row>
    <row r="320">
      <c r="A320" s="29" t="n"/>
      <c r="B320" s="31" t="n"/>
      <c r="C320" s="30" t="n"/>
      <c r="D320" s="32">
        <f>IF(AND(ISNUMBER(B320),ISNUMBER(C320)),B320*C320,"")</f>
        <v/>
      </c>
      <c r="E320" s="30" t="n"/>
    </row>
    <row r="321">
      <c r="A321" s="29" t="n"/>
      <c r="B321" s="31" t="n"/>
      <c r="C321" s="30" t="n"/>
      <c r="D321" s="32">
        <f>IF(AND(ISNUMBER(B321),ISNUMBER(C321)),B321*C321,"")</f>
        <v/>
      </c>
      <c r="E321" s="30" t="n"/>
    </row>
    <row r="322">
      <c r="A322" s="29" t="n"/>
      <c r="B322" s="31" t="n"/>
      <c r="C322" s="30" t="n"/>
      <c r="D322" s="32">
        <f>IF(AND(ISNUMBER(B322),ISNUMBER(C322)),B322*C322,"")</f>
        <v/>
      </c>
      <c r="E322" s="30" t="n"/>
    </row>
    <row r="323">
      <c r="A323" s="29" t="n"/>
      <c r="B323" s="31" t="n"/>
      <c r="C323" s="30" t="n"/>
      <c r="D323" s="32">
        <f>IF(AND(ISNUMBER(B323),ISNUMBER(C323)),B323*C323,"")</f>
        <v/>
      </c>
      <c r="E323" s="30" t="n"/>
    </row>
    <row r="324">
      <c r="A324" s="29" t="n"/>
      <c r="B324" s="31" t="n"/>
      <c r="C324" s="30" t="n"/>
      <c r="D324" s="32">
        <f>IF(AND(ISNUMBER(B324),ISNUMBER(C324)),B324*C324,"")</f>
        <v/>
      </c>
      <c r="E324" s="30" t="n"/>
    </row>
    <row r="325">
      <c r="A325" s="29" t="n"/>
      <c r="B325" s="31" t="n"/>
      <c r="C325" s="30" t="n"/>
      <c r="D325" s="32">
        <f>IF(AND(ISNUMBER(B325),ISNUMBER(C325)),B325*C325,"")</f>
        <v/>
      </c>
      <c r="E325" s="30" t="n"/>
    </row>
    <row r="326">
      <c r="A326" s="29" t="n"/>
      <c r="B326" s="31" t="n"/>
      <c r="C326" s="30" t="n"/>
      <c r="D326" s="32">
        <f>IF(AND(ISNUMBER(B326),ISNUMBER(C326)),B326*C326,"")</f>
        <v/>
      </c>
      <c r="E326" s="30" t="n"/>
    </row>
    <row r="327">
      <c r="A327" s="29" t="n"/>
      <c r="B327" s="31" t="n"/>
      <c r="C327" s="30" t="n"/>
      <c r="D327" s="32">
        <f>IF(AND(ISNUMBER(B327),ISNUMBER(C327)),B327*C327,"")</f>
        <v/>
      </c>
      <c r="E327" s="30" t="n"/>
    </row>
    <row r="328">
      <c r="A328" s="29" t="n"/>
      <c r="B328" s="31" t="n"/>
      <c r="C328" s="30" t="n"/>
      <c r="D328" s="32">
        <f>IF(AND(ISNUMBER(B328),ISNUMBER(C328)),B328*C328,"")</f>
        <v/>
      </c>
      <c r="E328" s="30" t="n"/>
    </row>
    <row r="329">
      <c r="A329" s="29" t="n"/>
      <c r="B329" s="31" t="n"/>
      <c r="C329" s="30" t="n"/>
      <c r="D329" s="32">
        <f>IF(AND(ISNUMBER(B329),ISNUMBER(C329)),B329*C329,"")</f>
        <v/>
      </c>
      <c r="E329" s="30" t="n"/>
    </row>
    <row r="330">
      <c r="A330" s="29" t="n"/>
      <c r="B330" s="31" t="n"/>
      <c r="C330" s="30" t="n"/>
      <c r="D330" s="32">
        <f>IF(AND(ISNUMBER(B330),ISNUMBER(C330)),B330*C330,"")</f>
        <v/>
      </c>
      <c r="E330" s="30" t="n"/>
    </row>
    <row r="331">
      <c r="A331" s="29" t="n"/>
      <c r="B331" s="31" t="n"/>
      <c r="C331" s="30" t="n"/>
      <c r="D331" s="32">
        <f>IF(AND(ISNUMBER(B331),ISNUMBER(C331)),B331*C331,"")</f>
        <v/>
      </c>
      <c r="E331" s="30" t="n"/>
    </row>
    <row r="332">
      <c r="A332" s="29" t="n"/>
      <c r="B332" s="31" t="n"/>
      <c r="C332" s="30" t="n"/>
      <c r="D332" s="32">
        <f>IF(AND(ISNUMBER(B332),ISNUMBER(C332)),B332*C332,"")</f>
        <v/>
      </c>
      <c r="E332" s="30" t="n"/>
    </row>
    <row r="333">
      <c r="A333" s="29" t="n"/>
      <c r="B333" s="31" t="n"/>
      <c r="C333" s="30" t="n"/>
      <c r="D333" s="32">
        <f>IF(AND(ISNUMBER(B333),ISNUMBER(C333)),B333*C333,"")</f>
        <v/>
      </c>
      <c r="E333" s="30" t="n"/>
    </row>
    <row r="334">
      <c r="A334" s="29" t="n"/>
      <c r="B334" s="31" t="n"/>
      <c r="C334" s="30" t="n"/>
      <c r="D334" s="32">
        <f>IF(AND(ISNUMBER(B334),ISNUMBER(C334)),B334*C334,"")</f>
        <v/>
      </c>
      <c r="E334" s="30" t="n"/>
    </row>
    <row r="335">
      <c r="A335" s="29" t="n"/>
      <c r="B335" s="31" t="n"/>
      <c r="C335" s="30" t="n"/>
      <c r="D335" s="32">
        <f>IF(AND(ISNUMBER(B335),ISNUMBER(C335)),B335*C335,"")</f>
        <v/>
      </c>
      <c r="E335" s="30" t="n"/>
    </row>
    <row r="336">
      <c r="A336" s="29" t="n"/>
      <c r="B336" s="31" t="n"/>
      <c r="C336" s="30" t="n"/>
      <c r="D336" s="32">
        <f>IF(AND(ISNUMBER(B336),ISNUMBER(C336)),B336*C336,"")</f>
        <v/>
      </c>
      <c r="E336" s="30" t="n"/>
    </row>
    <row r="337">
      <c r="A337" s="29" t="n"/>
      <c r="B337" s="31" t="n"/>
      <c r="C337" s="30" t="n"/>
      <c r="D337" s="32">
        <f>IF(AND(ISNUMBER(B337),ISNUMBER(C337)),B337*C337,"")</f>
        <v/>
      </c>
      <c r="E337" s="30" t="n"/>
    </row>
    <row r="338">
      <c r="A338" s="29" t="n"/>
      <c r="B338" s="31" t="n"/>
      <c r="C338" s="30" t="n"/>
      <c r="D338" s="32">
        <f>IF(AND(ISNUMBER(B338),ISNUMBER(C338)),B338*C338,"")</f>
        <v/>
      </c>
      <c r="E338" s="30" t="n"/>
    </row>
    <row r="339">
      <c r="A339" s="29" t="n"/>
      <c r="B339" s="31" t="n"/>
      <c r="C339" s="30" t="n"/>
      <c r="D339" s="32">
        <f>IF(AND(ISNUMBER(B339),ISNUMBER(C339)),B339*C339,"")</f>
        <v/>
      </c>
      <c r="E339" s="30" t="n"/>
    </row>
    <row r="340">
      <c r="A340" s="29" t="n"/>
      <c r="B340" s="31" t="n"/>
      <c r="C340" s="30" t="n"/>
      <c r="D340" s="32">
        <f>IF(AND(ISNUMBER(B340),ISNUMBER(C340)),B340*C340,"")</f>
        <v/>
      </c>
      <c r="E340" s="30" t="n"/>
    </row>
    <row r="341">
      <c r="A341" s="29" t="n"/>
      <c r="B341" s="31" t="n"/>
      <c r="C341" s="30" t="n"/>
      <c r="D341" s="32">
        <f>IF(AND(ISNUMBER(B341),ISNUMBER(C341)),B341*C341,"")</f>
        <v/>
      </c>
      <c r="E341" s="30" t="n"/>
    </row>
    <row r="342">
      <c r="A342" s="29" t="n"/>
      <c r="B342" s="31" t="n"/>
      <c r="C342" s="30" t="n"/>
      <c r="D342" s="32">
        <f>IF(AND(ISNUMBER(B342),ISNUMBER(C342)),B342*C342,"")</f>
        <v/>
      </c>
      <c r="E342" s="30" t="n"/>
    </row>
    <row r="343">
      <c r="A343" s="29" t="n"/>
      <c r="B343" s="31" t="n"/>
      <c r="C343" s="30" t="n"/>
      <c r="D343" s="32">
        <f>IF(AND(ISNUMBER(B343),ISNUMBER(C343)),B343*C343,"")</f>
        <v/>
      </c>
      <c r="E343" s="30" t="n"/>
    </row>
    <row r="344">
      <c r="A344" s="29" t="n"/>
      <c r="B344" s="31" t="n"/>
      <c r="C344" s="30" t="n"/>
      <c r="D344" s="32">
        <f>IF(AND(ISNUMBER(B344),ISNUMBER(C344)),B344*C344,"")</f>
        <v/>
      </c>
      <c r="E344" s="30" t="n"/>
    </row>
    <row r="345">
      <c r="A345" s="29" t="n"/>
      <c r="B345" s="31" t="n"/>
      <c r="C345" s="30" t="n"/>
      <c r="D345" s="32">
        <f>IF(AND(ISNUMBER(B345),ISNUMBER(C345)),B345*C345,"")</f>
        <v/>
      </c>
      <c r="E345" s="30" t="n"/>
    </row>
    <row r="346">
      <c r="A346" s="29" t="n"/>
      <c r="B346" s="31" t="n"/>
      <c r="C346" s="30" t="n"/>
      <c r="D346" s="32">
        <f>IF(AND(ISNUMBER(B346),ISNUMBER(C346)),B346*C346,"")</f>
        <v/>
      </c>
      <c r="E346" s="30" t="n"/>
    </row>
    <row r="347">
      <c r="A347" s="29" t="n"/>
      <c r="B347" s="31" t="n"/>
      <c r="C347" s="30" t="n"/>
      <c r="D347" s="32">
        <f>IF(AND(ISNUMBER(B347),ISNUMBER(C347)),B347*C347,"")</f>
        <v/>
      </c>
      <c r="E347" s="30" t="n"/>
    </row>
    <row r="348">
      <c r="A348" s="29" t="n"/>
      <c r="B348" s="31" t="n"/>
      <c r="C348" s="30" t="n"/>
      <c r="D348" s="32">
        <f>IF(AND(ISNUMBER(B348),ISNUMBER(C348)),B348*C348,"")</f>
        <v/>
      </c>
      <c r="E348" s="30" t="n"/>
    </row>
    <row r="349">
      <c r="A349" s="29" t="n"/>
      <c r="B349" s="31" t="n"/>
      <c r="C349" s="30" t="n"/>
      <c r="D349" s="32">
        <f>IF(AND(ISNUMBER(B349),ISNUMBER(C349)),B349*C349,"")</f>
        <v/>
      </c>
      <c r="E349" s="30" t="n"/>
    </row>
    <row r="350">
      <c r="A350" s="29" t="n"/>
      <c r="B350" s="31" t="n"/>
      <c r="C350" s="30" t="n"/>
      <c r="D350" s="32">
        <f>IF(AND(ISNUMBER(B350),ISNUMBER(C350)),B350*C350,"")</f>
        <v/>
      </c>
      <c r="E350" s="30" t="n"/>
    </row>
    <row r="351">
      <c r="A351" s="29" t="n"/>
      <c r="B351" s="31" t="n"/>
      <c r="C351" s="30" t="n"/>
      <c r="D351" s="32">
        <f>IF(AND(ISNUMBER(B351),ISNUMBER(C351)),B351*C351,"")</f>
        <v/>
      </c>
      <c r="E351" s="30" t="n"/>
    </row>
    <row r="352">
      <c r="A352" s="29" t="n"/>
      <c r="B352" s="31" t="n"/>
      <c r="C352" s="30" t="n"/>
      <c r="D352" s="32">
        <f>IF(AND(ISNUMBER(B352),ISNUMBER(C352)),B352*C352,"")</f>
        <v/>
      </c>
      <c r="E352" s="30" t="n"/>
    </row>
    <row r="353">
      <c r="A353" s="29" t="n"/>
      <c r="B353" s="31" t="n"/>
      <c r="C353" s="30" t="n"/>
      <c r="D353" s="32">
        <f>IF(AND(ISNUMBER(B353),ISNUMBER(C353)),B353*C353,"")</f>
        <v/>
      </c>
      <c r="E353" s="30" t="n"/>
    </row>
    <row r="354">
      <c r="A354" s="29" t="n"/>
      <c r="B354" s="31" t="n"/>
      <c r="C354" s="30" t="n"/>
      <c r="D354" s="32">
        <f>IF(AND(ISNUMBER(B354),ISNUMBER(C354)),B354*C354,"")</f>
        <v/>
      </c>
      <c r="E354" s="30" t="n"/>
    </row>
    <row r="355">
      <c r="A355" s="29" t="n"/>
      <c r="B355" s="31" t="n"/>
      <c r="C355" s="30" t="n"/>
      <c r="D355" s="32">
        <f>IF(AND(ISNUMBER(B355),ISNUMBER(C355)),B355*C355,"")</f>
        <v/>
      </c>
      <c r="E355" s="30" t="n"/>
    </row>
    <row r="356">
      <c r="A356" s="29" t="n"/>
      <c r="B356" s="31" t="n"/>
      <c r="C356" s="30" t="n"/>
      <c r="D356" s="32">
        <f>IF(AND(ISNUMBER(B356),ISNUMBER(C356)),B356*C356,"")</f>
        <v/>
      </c>
      <c r="E356" s="30" t="n"/>
    </row>
    <row r="357">
      <c r="A357" s="29" t="n"/>
      <c r="B357" s="31" t="n"/>
      <c r="C357" s="30" t="n"/>
      <c r="D357" s="32">
        <f>IF(AND(ISNUMBER(B357),ISNUMBER(C357)),B357*C357,"")</f>
        <v/>
      </c>
      <c r="E357" s="30" t="n"/>
    </row>
    <row r="358">
      <c r="A358" s="29" t="n"/>
      <c r="B358" s="31" t="n"/>
      <c r="C358" s="30" t="n"/>
      <c r="D358" s="32">
        <f>IF(AND(ISNUMBER(B358),ISNUMBER(C358)),B358*C358,"")</f>
        <v/>
      </c>
      <c r="E358" s="30" t="n"/>
    </row>
    <row r="359">
      <c r="A359" s="29" t="n"/>
      <c r="B359" s="31" t="n"/>
      <c r="C359" s="30" t="n"/>
      <c r="D359" s="32">
        <f>IF(AND(ISNUMBER(B359),ISNUMBER(C359)),B359*C359,"")</f>
        <v/>
      </c>
      <c r="E359" s="30" t="n"/>
    </row>
    <row r="360">
      <c r="A360" s="29" t="n"/>
      <c r="B360" s="31" t="n"/>
      <c r="C360" s="30" t="n"/>
      <c r="D360" s="32">
        <f>IF(AND(ISNUMBER(B360),ISNUMBER(C360)),B360*C360,"")</f>
        <v/>
      </c>
      <c r="E360" s="30" t="n"/>
    </row>
    <row r="361">
      <c r="A361" s="29" t="n"/>
      <c r="B361" s="31" t="n"/>
      <c r="C361" s="30" t="n"/>
      <c r="D361" s="32">
        <f>IF(AND(ISNUMBER(B361),ISNUMBER(C361)),B361*C361,"")</f>
        <v/>
      </c>
      <c r="E361" s="30" t="n"/>
    </row>
    <row r="362">
      <c r="A362" s="29" t="n"/>
      <c r="B362" s="31" t="n"/>
      <c r="C362" s="30" t="n"/>
      <c r="D362" s="32">
        <f>IF(AND(ISNUMBER(B362),ISNUMBER(C362)),B362*C362,"")</f>
        <v/>
      </c>
      <c r="E362" s="30" t="n"/>
    </row>
    <row r="363">
      <c r="A363" s="29" t="n"/>
      <c r="B363" s="31" t="n"/>
      <c r="C363" s="30" t="n"/>
      <c r="D363" s="32">
        <f>IF(AND(ISNUMBER(B363),ISNUMBER(C363)),B363*C363,"")</f>
        <v/>
      </c>
      <c r="E363" s="30" t="n"/>
    </row>
    <row r="364">
      <c r="A364" s="29" t="n"/>
      <c r="B364" s="31" t="n"/>
      <c r="C364" s="30" t="n"/>
      <c r="D364" s="32">
        <f>IF(AND(ISNUMBER(B364),ISNUMBER(C364)),B364*C364,"")</f>
        <v/>
      </c>
      <c r="E364" s="30" t="n"/>
    </row>
    <row r="365">
      <c r="A365" s="29" t="n"/>
      <c r="B365" s="31" t="n"/>
      <c r="C365" s="30" t="n"/>
      <c r="D365" s="32">
        <f>IF(AND(ISNUMBER(B365),ISNUMBER(C365)),B365*C365,"")</f>
        <v/>
      </c>
      <c r="E365" s="30" t="n"/>
    </row>
    <row r="366">
      <c r="A366" s="29" t="n"/>
      <c r="B366" s="31" t="n"/>
      <c r="C366" s="30" t="n"/>
      <c r="D366" s="32">
        <f>IF(AND(ISNUMBER(B366),ISNUMBER(C366)),B366*C366,"")</f>
        <v/>
      </c>
      <c r="E366" s="30" t="n"/>
    </row>
    <row r="367">
      <c r="A367" s="29" t="n"/>
      <c r="B367" s="31" t="n"/>
      <c r="C367" s="30" t="n"/>
      <c r="D367" s="32">
        <f>IF(AND(ISNUMBER(B367),ISNUMBER(C367)),B367*C367,"")</f>
        <v/>
      </c>
      <c r="E367" s="30" t="n"/>
    </row>
    <row r="368">
      <c r="A368" s="29" t="n"/>
      <c r="B368" s="31" t="n"/>
      <c r="C368" s="30" t="n"/>
      <c r="D368" s="32">
        <f>IF(AND(ISNUMBER(B368),ISNUMBER(C368)),B368*C368,"")</f>
        <v/>
      </c>
      <c r="E368" s="30" t="n"/>
    </row>
    <row r="369">
      <c r="A369" s="29" t="n"/>
      <c r="B369" s="31" t="n"/>
      <c r="C369" s="30" t="n"/>
      <c r="D369" s="32">
        <f>IF(AND(ISNUMBER(B369),ISNUMBER(C369)),B369*C369,"")</f>
        <v/>
      </c>
      <c r="E369" s="30" t="n"/>
    </row>
    <row r="370">
      <c r="A370" s="29" t="n"/>
      <c r="B370" s="31" t="n"/>
      <c r="C370" s="30" t="n"/>
      <c r="D370" s="32">
        <f>IF(AND(ISNUMBER(B370),ISNUMBER(C370)),B370*C370,"")</f>
        <v/>
      </c>
      <c r="E370" s="30" t="n"/>
    </row>
    <row r="371">
      <c r="A371" s="29" t="n"/>
      <c r="B371" s="31" t="n"/>
      <c r="C371" s="30" t="n"/>
      <c r="D371" s="32">
        <f>IF(AND(ISNUMBER(B371),ISNUMBER(C371)),B371*C371,"")</f>
        <v/>
      </c>
      <c r="E371" s="30" t="n"/>
    </row>
    <row r="372">
      <c r="A372" s="29" t="n"/>
      <c r="B372" s="31" t="n"/>
      <c r="C372" s="30" t="n"/>
      <c r="D372" s="32">
        <f>IF(AND(ISNUMBER(B372),ISNUMBER(C372)),B372*C372,"")</f>
        <v/>
      </c>
      <c r="E372" s="30" t="n"/>
    </row>
    <row r="373">
      <c r="A373" s="29" t="n"/>
      <c r="B373" s="31" t="n"/>
      <c r="C373" s="30" t="n"/>
      <c r="D373" s="32">
        <f>IF(AND(ISNUMBER(B373),ISNUMBER(C373)),B373*C373,"")</f>
        <v/>
      </c>
      <c r="E373" s="30" t="n"/>
    </row>
    <row r="374">
      <c r="A374" s="29" t="n"/>
      <c r="B374" s="31" t="n"/>
      <c r="C374" s="30" t="n"/>
      <c r="D374" s="32">
        <f>IF(AND(ISNUMBER(B374),ISNUMBER(C374)),B374*C374,"")</f>
        <v/>
      </c>
      <c r="E374" s="30" t="n"/>
    </row>
    <row r="375">
      <c r="A375" s="29" t="n"/>
      <c r="B375" s="31" t="n"/>
      <c r="C375" s="30" t="n"/>
      <c r="D375" s="32">
        <f>IF(AND(ISNUMBER(B375),ISNUMBER(C375)),B375*C375,"")</f>
        <v/>
      </c>
      <c r="E375" s="30" t="n"/>
    </row>
    <row r="376">
      <c r="A376" s="29" t="n"/>
      <c r="B376" s="31" t="n"/>
      <c r="C376" s="30" t="n"/>
      <c r="D376" s="32">
        <f>IF(AND(ISNUMBER(B376),ISNUMBER(C376)),B376*C376,"")</f>
        <v/>
      </c>
      <c r="E376" s="30" t="n"/>
    </row>
    <row r="377">
      <c r="A377" s="29" t="n"/>
      <c r="B377" s="31" t="n"/>
      <c r="C377" s="30" t="n"/>
      <c r="D377" s="32">
        <f>IF(AND(ISNUMBER(B377),ISNUMBER(C377)),B377*C377,"")</f>
        <v/>
      </c>
      <c r="E377" s="30" t="n"/>
    </row>
    <row r="378">
      <c r="A378" s="29" t="n"/>
      <c r="B378" s="31" t="n"/>
      <c r="C378" s="30" t="n"/>
      <c r="D378" s="32">
        <f>IF(AND(ISNUMBER(B378),ISNUMBER(C378)),B378*C378,"")</f>
        <v/>
      </c>
      <c r="E378" s="30" t="n"/>
    </row>
    <row r="379">
      <c r="A379" s="29" t="n"/>
      <c r="B379" s="31" t="n"/>
      <c r="C379" s="30" t="n"/>
      <c r="D379" s="32">
        <f>IF(AND(ISNUMBER(B379),ISNUMBER(C379)),B379*C379,"")</f>
        <v/>
      </c>
      <c r="E379" s="30" t="n"/>
    </row>
    <row r="380">
      <c r="A380" s="29" t="n"/>
      <c r="B380" s="31" t="n"/>
      <c r="C380" s="30" t="n"/>
      <c r="D380" s="32">
        <f>IF(AND(ISNUMBER(B380),ISNUMBER(C380)),B380*C380,"")</f>
        <v/>
      </c>
      <c r="E380" s="30" t="n"/>
    </row>
    <row r="381">
      <c r="A381" s="29" t="n"/>
      <c r="B381" s="31" t="n"/>
      <c r="C381" s="30" t="n"/>
      <c r="D381" s="32">
        <f>IF(AND(ISNUMBER(B381),ISNUMBER(C381)),B381*C381,"")</f>
        <v/>
      </c>
      <c r="E381" s="30" t="n"/>
    </row>
    <row r="382">
      <c r="A382" s="29" t="n"/>
      <c r="B382" s="31" t="n"/>
      <c r="C382" s="30" t="n"/>
      <c r="D382" s="32">
        <f>IF(AND(ISNUMBER(B382),ISNUMBER(C382)),B382*C382,"")</f>
        <v/>
      </c>
      <c r="E382" s="30" t="n"/>
    </row>
    <row r="383">
      <c r="A383" s="29" t="n"/>
      <c r="B383" s="31" t="n"/>
      <c r="C383" s="30" t="n"/>
      <c r="D383" s="32">
        <f>IF(AND(ISNUMBER(B383),ISNUMBER(C383)),B383*C383,"")</f>
        <v/>
      </c>
      <c r="E383" s="30" t="n"/>
    </row>
    <row r="384">
      <c r="A384" s="29" t="n"/>
      <c r="B384" s="31" t="n"/>
      <c r="C384" s="30" t="n"/>
      <c r="D384" s="32">
        <f>IF(AND(ISNUMBER(B384),ISNUMBER(C384)),B384*C384,"")</f>
        <v/>
      </c>
      <c r="E384" s="30" t="n"/>
    </row>
    <row r="385">
      <c r="A385" s="29" t="n"/>
      <c r="B385" s="31" t="n"/>
      <c r="C385" s="30" t="n"/>
      <c r="D385" s="32">
        <f>IF(AND(ISNUMBER(B385),ISNUMBER(C385)),B385*C385,"")</f>
        <v/>
      </c>
      <c r="E385" s="30" t="n"/>
    </row>
    <row r="386">
      <c r="A386" s="29" t="n"/>
      <c r="B386" s="31" t="n"/>
      <c r="C386" s="30" t="n"/>
      <c r="D386" s="32">
        <f>IF(AND(ISNUMBER(B386),ISNUMBER(C386)),B386*C386,"")</f>
        <v/>
      </c>
      <c r="E386" s="30" t="n"/>
    </row>
    <row r="387">
      <c r="A387" s="29" t="n"/>
      <c r="B387" s="31" t="n"/>
      <c r="C387" s="30" t="n"/>
      <c r="D387" s="32">
        <f>IF(AND(ISNUMBER(B387),ISNUMBER(C387)),B387*C387,"")</f>
        <v/>
      </c>
      <c r="E387" s="30" t="n"/>
    </row>
    <row r="388">
      <c r="A388" s="29" t="n"/>
      <c r="B388" s="31" t="n"/>
      <c r="C388" s="30" t="n"/>
      <c r="D388" s="32">
        <f>IF(AND(ISNUMBER(B388),ISNUMBER(C388)),B388*C388,"")</f>
        <v/>
      </c>
      <c r="E388" s="30" t="n"/>
    </row>
    <row r="389">
      <c r="A389" s="29" t="n"/>
      <c r="B389" s="31" t="n"/>
      <c r="C389" s="30" t="n"/>
      <c r="D389" s="32">
        <f>IF(AND(ISNUMBER(B389),ISNUMBER(C389)),B389*C389,"")</f>
        <v/>
      </c>
      <c r="E389" s="30" t="n"/>
    </row>
    <row r="390">
      <c r="A390" s="29" t="n"/>
      <c r="B390" s="31" t="n"/>
      <c r="C390" s="30" t="n"/>
      <c r="D390" s="32">
        <f>IF(AND(ISNUMBER(B390),ISNUMBER(C390)),B390*C390,"")</f>
        <v/>
      </c>
      <c r="E390" s="30" t="n"/>
    </row>
    <row r="391">
      <c r="A391" s="29" t="n"/>
      <c r="B391" s="31" t="n"/>
      <c r="C391" s="30" t="n"/>
      <c r="D391" s="32">
        <f>IF(AND(ISNUMBER(B391),ISNUMBER(C391)),B391*C391,"")</f>
        <v/>
      </c>
      <c r="E391" s="30" t="n"/>
    </row>
    <row r="392">
      <c r="A392" s="29" t="n"/>
      <c r="B392" s="31" t="n"/>
      <c r="C392" s="30" t="n"/>
      <c r="D392" s="32">
        <f>IF(AND(ISNUMBER(B392),ISNUMBER(C392)),B392*C392,"")</f>
        <v/>
      </c>
      <c r="E392" s="30" t="n"/>
    </row>
    <row r="393">
      <c r="A393" s="29" t="n"/>
      <c r="B393" s="31" t="n"/>
      <c r="C393" s="30" t="n"/>
      <c r="D393" s="32">
        <f>IF(AND(ISNUMBER(B393),ISNUMBER(C393)),B393*C393,"")</f>
        <v/>
      </c>
      <c r="E393" s="30" t="n"/>
    </row>
    <row r="394">
      <c r="A394" s="29" t="n"/>
      <c r="B394" s="31" t="n"/>
      <c r="C394" s="30" t="n"/>
      <c r="D394" s="32">
        <f>IF(AND(ISNUMBER(B394),ISNUMBER(C394)),B394*C394,"")</f>
        <v/>
      </c>
      <c r="E394" s="30" t="n"/>
    </row>
    <row r="395">
      <c r="A395" s="29" t="n"/>
      <c r="B395" s="31" t="n"/>
      <c r="C395" s="30" t="n"/>
      <c r="D395" s="32">
        <f>IF(AND(ISNUMBER(B395),ISNUMBER(C395)),B395*C395,"")</f>
        <v/>
      </c>
      <c r="E395" s="30" t="n"/>
    </row>
    <row r="396">
      <c r="A396" s="29" t="n"/>
      <c r="B396" s="31" t="n"/>
      <c r="C396" s="30" t="n"/>
      <c r="D396" s="32">
        <f>IF(AND(ISNUMBER(B396),ISNUMBER(C396)),B396*C396,"")</f>
        <v/>
      </c>
      <c r="E396" s="30" t="n"/>
    </row>
    <row r="397">
      <c r="A397" s="29" t="n"/>
      <c r="B397" s="31" t="n"/>
      <c r="C397" s="30" t="n"/>
      <c r="D397" s="32">
        <f>IF(AND(ISNUMBER(B397),ISNUMBER(C397)),B397*C397,"")</f>
        <v/>
      </c>
      <c r="E397" s="30" t="n"/>
    </row>
    <row r="398">
      <c r="A398" s="29" t="n"/>
      <c r="B398" s="31" t="n"/>
      <c r="C398" s="30" t="n"/>
      <c r="D398" s="32">
        <f>IF(AND(ISNUMBER(B398),ISNUMBER(C398)),B398*C398,"")</f>
        <v/>
      </c>
      <c r="E398" s="30" t="n"/>
    </row>
    <row r="399">
      <c r="A399" s="29" t="n"/>
      <c r="B399" s="31" t="n"/>
      <c r="C399" s="30" t="n"/>
      <c r="D399" s="32">
        <f>IF(AND(ISNUMBER(B399),ISNUMBER(C399)),B399*C399,"")</f>
        <v/>
      </c>
      <c r="E399" s="30" t="n"/>
    </row>
    <row r="400">
      <c r="A400" s="29" t="n"/>
      <c r="B400" s="31" t="n"/>
      <c r="C400" s="30" t="n"/>
      <c r="D400" s="32">
        <f>IF(AND(ISNUMBER(B400),ISNUMBER(C400)),B400*C400,"")</f>
        <v/>
      </c>
      <c r="E400" s="30" t="n"/>
    </row>
    <row r="401">
      <c r="A401" s="29" t="n"/>
      <c r="B401" s="31" t="n"/>
      <c r="C401" s="30" t="n"/>
      <c r="D401" s="32">
        <f>IF(AND(ISNUMBER(B401),ISNUMBER(C401)),B401*C401,"")</f>
        <v/>
      </c>
      <c r="E401" s="30" t="n"/>
    </row>
    <row r="402">
      <c r="A402" s="29" t="n"/>
      <c r="B402" s="31" t="n"/>
      <c r="C402" s="30" t="n"/>
      <c r="D402" s="32">
        <f>IF(AND(ISNUMBER(B402),ISNUMBER(C402)),B402*C402,"")</f>
        <v/>
      </c>
      <c r="E402" s="30" t="n"/>
    </row>
    <row r="403">
      <c r="A403" s="29" t="n"/>
      <c r="B403" s="31" t="n"/>
      <c r="C403" s="30" t="n"/>
      <c r="D403" s="32">
        <f>IF(AND(ISNUMBER(B403),ISNUMBER(C403)),B403*C403,"")</f>
        <v/>
      </c>
      <c r="E403" s="30" t="n"/>
    </row>
    <row r="404">
      <c r="A404" s="29" t="n"/>
      <c r="B404" s="31" t="n"/>
      <c r="C404" s="30" t="n"/>
      <c r="D404" s="32">
        <f>IF(AND(ISNUMBER(B404),ISNUMBER(C404)),B404*C404,"")</f>
        <v/>
      </c>
      <c r="E404" s="30" t="n"/>
    </row>
    <row r="405">
      <c r="A405" s="29" t="n"/>
      <c r="B405" s="31" t="n"/>
      <c r="C405" s="30" t="n"/>
      <c r="D405" s="32">
        <f>IF(AND(ISNUMBER(B405),ISNUMBER(C405)),B405*C405,"")</f>
        <v/>
      </c>
      <c r="E405" s="30" t="n"/>
    </row>
    <row r="406">
      <c r="A406" s="29" t="n"/>
      <c r="B406" s="31" t="n"/>
      <c r="C406" s="30" t="n"/>
      <c r="D406" s="32">
        <f>IF(AND(ISNUMBER(B406),ISNUMBER(C406)),B406*C406,"")</f>
        <v/>
      </c>
      <c r="E406" s="30" t="n"/>
    </row>
    <row r="407">
      <c r="A407" s="29" t="n"/>
      <c r="B407" s="31" t="n"/>
      <c r="C407" s="30" t="n"/>
      <c r="D407" s="32">
        <f>IF(AND(ISNUMBER(B407),ISNUMBER(C407)),B407*C407,"")</f>
        <v/>
      </c>
      <c r="E407" s="30" t="n"/>
    </row>
    <row r="408">
      <c r="A408" s="29" t="n"/>
      <c r="B408" s="31" t="n"/>
      <c r="C408" s="30" t="n"/>
      <c r="D408" s="32">
        <f>IF(AND(ISNUMBER(B408),ISNUMBER(C408)),B408*C408,"")</f>
        <v/>
      </c>
      <c r="E408" s="30" t="n"/>
    </row>
    <row r="409">
      <c r="A409" s="29" t="n"/>
      <c r="B409" s="31" t="n"/>
      <c r="C409" s="30" t="n"/>
      <c r="D409" s="32">
        <f>IF(AND(ISNUMBER(B409),ISNUMBER(C409)),B409*C409,"")</f>
        <v/>
      </c>
      <c r="E409" s="30" t="n"/>
    </row>
    <row r="410">
      <c r="A410" s="29" t="n"/>
      <c r="B410" s="31" t="n"/>
      <c r="C410" s="30" t="n"/>
      <c r="D410" s="32">
        <f>IF(AND(ISNUMBER(B410),ISNUMBER(C410)),B410*C410,"")</f>
        <v/>
      </c>
      <c r="E410" s="30" t="n"/>
    </row>
    <row r="411">
      <c r="A411" s="29" t="n"/>
      <c r="B411" s="31" t="n"/>
      <c r="C411" s="30" t="n"/>
      <c r="D411" s="32">
        <f>IF(AND(ISNUMBER(B411),ISNUMBER(C411)),B411*C411,"")</f>
        <v/>
      </c>
      <c r="E411" s="30" t="n"/>
    </row>
    <row r="412">
      <c r="A412" s="29" t="n"/>
      <c r="B412" s="31" t="n"/>
      <c r="C412" s="30" t="n"/>
      <c r="D412" s="32">
        <f>IF(AND(ISNUMBER(B412),ISNUMBER(C412)),B412*C412,"")</f>
        <v/>
      </c>
      <c r="E412" s="30" t="n"/>
    </row>
    <row r="413">
      <c r="A413" s="29" t="n"/>
      <c r="B413" s="31" t="n"/>
      <c r="C413" s="30" t="n"/>
      <c r="D413" s="32">
        <f>IF(AND(ISNUMBER(B413),ISNUMBER(C413)),B413*C413,"")</f>
        <v/>
      </c>
      <c r="E413" s="30" t="n"/>
    </row>
    <row r="414">
      <c r="A414" s="29" t="n"/>
      <c r="B414" s="31" t="n"/>
      <c r="C414" s="30" t="n"/>
      <c r="D414" s="32">
        <f>IF(AND(ISNUMBER(B414),ISNUMBER(C414)),B414*C414,"")</f>
        <v/>
      </c>
      <c r="E414" s="30" t="n"/>
    </row>
    <row r="415">
      <c r="A415" s="29" t="n"/>
      <c r="B415" s="31" t="n"/>
      <c r="C415" s="30" t="n"/>
      <c r="D415" s="32">
        <f>IF(AND(ISNUMBER(B415),ISNUMBER(C415)),B415*C415,"")</f>
        <v/>
      </c>
      <c r="E415" s="30" t="n"/>
    </row>
    <row r="416">
      <c r="A416" s="29" t="n"/>
      <c r="B416" s="31" t="n"/>
      <c r="C416" s="30" t="n"/>
      <c r="D416" s="32">
        <f>IF(AND(ISNUMBER(B416),ISNUMBER(C416)),B416*C416,"")</f>
        <v/>
      </c>
      <c r="E416" s="30" t="n"/>
    </row>
    <row r="417">
      <c r="A417" s="29" t="n"/>
      <c r="B417" s="31" t="n"/>
      <c r="C417" s="30" t="n"/>
      <c r="D417" s="32">
        <f>IF(AND(ISNUMBER(B417),ISNUMBER(C417)),B417*C417,"")</f>
        <v/>
      </c>
      <c r="E417" s="30" t="n"/>
    </row>
    <row r="418">
      <c r="A418" s="29" t="n"/>
      <c r="B418" s="31" t="n"/>
      <c r="C418" s="30" t="n"/>
      <c r="D418" s="32">
        <f>IF(AND(ISNUMBER(B418),ISNUMBER(C418)),B418*C418,"")</f>
        <v/>
      </c>
      <c r="E418" s="30" t="n"/>
    </row>
    <row r="419">
      <c r="A419" s="29" t="n"/>
      <c r="B419" s="31" t="n"/>
      <c r="C419" s="30" t="n"/>
      <c r="D419" s="32">
        <f>IF(AND(ISNUMBER(B419),ISNUMBER(C419)),B419*C419,"")</f>
        <v/>
      </c>
      <c r="E419" s="30" t="n"/>
    </row>
    <row r="420">
      <c r="A420" s="29" t="n"/>
      <c r="B420" s="31" t="n"/>
      <c r="C420" s="30" t="n"/>
      <c r="D420" s="32">
        <f>IF(AND(ISNUMBER(B420),ISNUMBER(C420)),B420*C420,"")</f>
        <v/>
      </c>
      <c r="E420" s="30" t="n"/>
    </row>
    <row r="421">
      <c r="A421" s="29" t="n"/>
      <c r="B421" s="31" t="n"/>
      <c r="C421" s="30" t="n"/>
      <c r="D421" s="32">
        <f>IF(AND(ISNUMBER(B421),ISNUMBER(C421)),B421*C421,"")</f>
        <v/>
      </c>
      <c r="E421" s="30" t="n"/>
    </row>
    <row r="422">
      <c r="A422" s="29" t="n"/>
      <c r="B422" s="31" t="n"/>
      <c r="C422" s="30" t="n"/>
      <c r="D422" s="32">
        <f>IF(AND(ISNUMBER(B422),ISNUMBER(C422)),B422*C422,"")</f>
        <v/>
      </c>
      <c r="E422" s="30" t="n"/>
    </row>
    <row r="423">
      <c r="A423" s="29" t="n"/>
      <c r="B423" s="31" t="n"/>
      <c r="C423" s="30" t="n"/>
      <c r="D423" s="32">
        <f>IF(AND(ISNUMBER(B423),ISNUMBER(C423)),B423*C423,"")</f>
        <v/>
      </c>
      <c r="E423" s="30" t="n"/>
    </row>
    <row r="424">
      <c r="A424" s="29" t="n"/>
      <c r="B424" s="31" t="n"/>
      <c r="C424" s="30" t="n"/>
      <c r="D424" s="32">
        <f>IF(AND(ISNUMBER(B424),ISNUMBER(C424)),B424*C424,"")</f>
        <v/>
      </c>
      <c r="E424" s="30" t="n"/>
    </row>
    <row r="425">
      <c r="A425" s="29" t="n"/>
      <c r="B425" s="31" t="n"/>
      <c r="C425" s="30" t="n"/>
      <c r="D425" s="32">
        <f>IF(AND(ISNUMBER(B425),ISNUMBER(C425)),B425*C425,"")</f>
        <v/>
      </c>
      <c r="E425" s="30" t="n"/>
    </row>
    <row r="426">
      <c r="A426" s="29" t="n"/>
      <c r="B426" s="31" t="n"/>
      <c r="C426" s="30" t="n"/>
      <c r="D426" s="32">
        <f>IF(AND(ISNUMBER(B426),ISNUMBER(C426)),B426*C426,"")</f>
        <v/>
      </c>
      <c r="E426" s="30" t="n"/>
    </row>
    <row r="427">
      <c r="A427" s="29" t="n"/>
      <c r="B427" s="31" t="n"/>
      <c r="C427" s="30" t="n"/>
      <c r="D427" s="32">
        <f>IF(AND(ISNUMBER(B427),ISNUMBER(C427)),B427*C427,"")</f>
        <v/>
      </c>
      <c r="E427" s="30" t="n"/>
    </row>
    <row r="428">
      <c r="A428" s="29" t="n"/>
      <c r="B428" s="31" t="n"/>
      <c r="C428" s="30" t="n"/>
      <c r="D428" s="32">
        <f>IF(AND(ISNUMBER(B428),ISNUMBER(C428)),B428*C428,"")</f>
        <v/>
      </c>
      <c r="E428" s="30" t="n"/>
    </row>
    <row r="429">
      <c r="A429" s="29" t="n"/>
      <c r="B429" s="31" t="n"/>
      <c r="C429" s="30" t="n"/>
      <c r="D429" s="32">
        <f>IF(AND(ISNUMBER(B429),ISNUMBER(C429)),B429*C429,"")</f>
        <v/>
      </c>
      <c r="E429" s="30" t="n"/>
    </row>
    <row r="430">
      <c r="A430" s="29" t="n"/>
      <c r="B430" s="31" t="n"/>
      <c r="C430" s="30" t="n"/>
      <c r="D430" s="32">
        <f>IF(AND(ISNUMBER(B430),ISNUMBER(C430)),B430*C430,"")</f>
        <v/>
      </c>
      <c r="E430" s="30" t="n"/>
    </row>
    <row r="431">
      <c r="A431" s="29" t="n"/>
      <c r="B431" s="31" t="n"/>
      <c r="C431" s="30" t="n"/>
      <c r="D431" s="32">
        <f>IF(AND(ISNUMBER(B431),ISNUMBER(C431)),B431*C431,"")</f>
        <v/>
      </c>
      <c r="E431" s="30" t="n"/>
    </row>
    <row r="432">
      <c r="A432" s="29" t="n"/>
      <c r="B432" s="31" t="n"/>
      <c r="C432" s="30" t="n"/>
      <c r="D432" s="32">
        <f>IF(AND(ISNUMBER(B432),ISNUMBER(C432)),B432*C432,"")</f>
        <v/>
      </c>
      <c r="E432" s="30" t="n"/>
    </row>
    <row r="433">
      <c r="A433" s="29" t="n"/>
      <c r="B433" s="31" t="n"/>
      <c r="C433" s="30" t="n"/>
      <c r="D433" s="32">
        <f>IF(AND(ISNUMBER(B433),ISNUMBER(C433)),B433*C433,"")</f>
        <v/>
      </c>
      <c r="E433" s="30" t="n"/>
    </row>
    <row r="434">
      <c r="A434" s="29" t="n"/>
      <c r="B434" s="31" t="n"/>
      <c r="C434" s="30" t="n"/>
      <c r="D434" s="32">
        <f>IF(AND(ISNUMBER(B434),ISNUMBER(C434)),B434*C434,"")</f>
        <v/>
      </c>
      <c r="E434" s="30" t="n"/>
    </row>
    <row r="435">
      <c r="A435" s="29" t="n"/>
      <c r="B435" s="31" t="n"/>
      <c r="C435" s="30" t="n"/>
      <c r="D435" s="32">
        <f>IF(AND(ISNUMBER(B435),ISNUMBER(C435)),B435*C435,"")</f>
        <v/>
      </c>
      <c r="E435" s="30" t="n"/>
    </row>
    <row r="436">
      <c r="A436" s="29" t="n"/>
      <c r="B436" s="31" t="n"/>
      <c r="C436" s="30" t="n"/>
      <c r="D436" s="32">
        <f>IF(AND(ISNUMBER(B436),ISNUMBER(C436)),B436*C436,"")</f>
        <v/>
      </c>
      <c r="E436" s="30" t="n"/>
    </row>
    <row r="437">
      <c r="A437" s="29" t="n"/>
      <c r="B437" s="31" t="n"/>
      <c r="C437" s="30" t="n"/>
      <c r="D437" s="32">
        <f>IF(AND(ISNUMBER(B437),ISNUMBER(C437)),B437*C437,"")</f>
        <v/>
      </c>
      <c r="E437" s="30" t="n"/>
    </row>
    <row r="438">
      <c r="A438" s="29" t="n"/>
      <c r="B438" s="31" t="n"/>
      <c r="C438" s="30" t="n"/>
      <c r="D438" s="32">
        <f>IF(AND(ISNUMBER(B438),ISNUMBER(C438)),B438*C438,"")</f>
        <v/>
      </c>
      <c r="E438" s="30" t="n"/>
    </row>
    <row r="439">
      <c r="A439" s="29" t="n"/>
      <c r="B439" s="31" t="n"/>
      <c r="C439" s="30" t="n"/>
      <c r="D439" s="32">
        <f>IF(AND(ISNUMBER(B439),ISNUMBER(C439)),B439*C439,"")</f>
        <v/>
      </c>
      <c r="E439" s="30" t="n"/>
    </row>
    <row r="440">
      <c r="A440" s="29" t="n"/>
      <c r="B440" s="31" t="n"/>
      <c r="C440" s="30" t="n"/>
      <c r="D440" s="32">
        <f>IF(AND(ISNUMBER(B440),ISNUMBER(C440)),B440*C440,"")</f>
        <v/>
      </c>
      <c r="E440" s="30" t="n"/>
    </row>
    <row r="441">
      <c r="A441" s="29" t="n"/>
      <c r="B441" s="31" t="n"/>
      <c r="C441" s="30" t="n"/>
      <c r="D441" s="32">
        <f>IF(AND(ISNUMBER(B441),ISNUMBER(C441)),B441*C441,"")</f>
        <v/>
      </c>
      <c r="E441" s="30" t="n"/>
    </row>
    <row r="442">
      <c r="A442" s="29" t="n"/>
      <c r="B442" s="31" t="n"/>
      <c r="C442" s="30" t="n"/>
      <c r="D442" s="32">
        <f>IF(AND(ISNUMBER(B442),ISNUMBER(C442)),B442*C442,"")</f>
        <v/>
      </c>
      <c r="E442" s="30" t="n"/>
    </row>
    <row r="443">
      <c r="A443" s="29" t="n"/>
      <c r="B443" s="31" t="n"/>
      <c r="C443" s="30" t="n"/>
      <c r="D443" s="32">
        <f>IF(AND(ISNUMBER(B443),ISNUMBER(C443)),B443*C443,"")</f>
        <v/>
      </c>
      <c r="E443" s="30" t="n"/>
    </row>
    <row r="444">
      <c r="A444" s="29" t="n"/>
      <c r="B444" s="31" t="n"/>
      <c r="C444" s="30" t="n"/>
      <c r="D444" s="32">
        <f>IF(AND(ISNUMBER(B444),ISNUMBER(C444)),B444*C444,"")</f>
        <v/>
      </c>
      <c r="E444" s="30" t="n"/>
    </row>
    <row r="445">
      <c r="A445" s="29" t="n"/>
      <c r="B445" s="31" t="n"/>
      <c r="C445" s="30" t="n"/>
      <c r="D445" s="32">
        <f>IF(AND(ISNUMBER(B445),ISNUMBER(C445)),B445*C445,"")</f>
        <v/>
      </c>
      <c r="E445" s="30" t="n"/>
    </row>
    <row r="446">
      <c r="A446" s="29" t="n"/>
      <c r="B446" s="31" t="n"/>
      <c r="C446" s="30" t="n"/>
      <c r="D446" s="32">
        <f>IF(AND(ISNUMBER(B446),ISNUMBER(C446)),B446*C446,"")</f>
        <v/>
      </c>
      <c r="E446" s="30" t="n"/>
    </row>
    <row r="447">
      <c r="A447" s="29" t="n"/>
      <c r="B447" s="31" t="n"/>
      <c r="C447" s="30" t="n"/>
      <c r="D447" s="32">
        <f>IF(AND(ISNUMBER(B447),ISNUMBER(C447)),B447*C447,"")</f>
        <v/>
      </c>
      <c r="E447" s="30" t="n"/>
    </row>
    <row r="448">
      <c r="A448" s="29" t="n"/>
      <c r="B448" s="31" t="n"/>
      <c r="C448" s="30" t="n"/>
      <c r="D448" s="32">
        <f>IF(AND(ISNUMBER(B448),ISNUMBER(C448)),B448*C448,"")</f>
        <v/>
      </c>
      <c r="E448" s="30" t="n"/>
    </row>
    <row r="449">
      <c r="A449" s="29" t="n"/>
      <c r="B449" s="31" t="n"/>
      <c r="C449" s="30" t="n"/>
      <c r="D449" s="32">
        <f>IF(AND(ISNUMBER(B449),ISNUMBER(C449)),B449*C449,"")</f>
        <v/>
      </c>
      <c r="E449" s="30" t="n"/>
    </row>
    <row r="450">
      <c r="A450" s="29" t="n"/>
      <c r="B450" s="31" t="n"/>
      <c r="C450" s="30" t="n"/>
      <c r="D450" s="32">
        <f>IF(AND(ISNUMBER(B450),ISNUMBER(C450)),B450*C450,"")</f>
        <v/>
      </c>
      <c r="E450" s="30" t="n"/>
    </row>
    <row r="451">
      <c r="A451" s="29" t="n"/>
      <c r="B451" s="31" t="n"/>
      <c r="C451" s="30" t="n"/>
      <c r="D451" s="32">
        <f>IF(AND(ISNUMBER(B451),ISNUMBER(C451)),B451*C451,"")</f>
        <v/>
      </c>
      <c r="E451" s="30" t="n"/>
    </row>
    <row r="452">
      <c r="A452" s="29" t="n"/>
      <c r="B452" s="31" t="n"/>
      <c r="C452" s="30" t="n"/>
      <c r="D452" s="32">
        <f>IF(AND(ISNUMBER(B452),ISNUMBER(C452)),B452*C452,"")</f>
        <v/>
      </c>
      <c r="E452" s="30" t="n"/>
    </row>
    <row r="453">
      <c r="A453" s="29" t="n"/>
      <c r="B453" s="31" t="n"/>
      <c r="C453" s="30" t="n"/>
      <c r="D453" s="32">
        <f>IF(AND(ISNUMBER(B453),ISNUMBER(C453)),B453*C453,"")</f>
        <v/>
      </c>
      <c r="E453" s="30" t="n"/>
    </row>
    <row r="454">
      <c r="A454" s="29" t="n"/>
      <c r="B454" s="31" t="n"/>
      <c r="C454" s="30" t="n"/>
      <c r="D454" s="32">
        <f>IF(AND(ISNUMBER(B454),ISNUMBER(C454)),B454*C454,"")</f>
        <v/>
      </c>
      <c r="E454" s="30" t="n"/>
    </row>
    <row r="455">
      <c r="A455" s="29" t="n"/>
      <c r="B455" s="31" t="n"/>
      <c r="C455" s="30" t="n"/>
      <c r="D455" s="32">
        <f>IF(AND(ISNUMBER(B455),ISNUMBER(C455)),B455*C455,"")</f>
        <v/>
      </c>
      <c r="E455" s="30" t="n"/>
    </row>
    <row r="456">
      <c r="A456" s="29" t="n"/>
      <c r="B456" s="31" t="n"/>
      <c r="C456" s="30" t="n"/>
      <c r="D456" s="32">
        <f>IF(AND(ISNUMBER(B456),ISNUMBER(C456)),B456*C456,"")</f>
        <v/>
      </c>
      <c r="E456" s="30" t="n"/>
    </row>
    <row r="457">
      <c r="A457" s="29" t="n"/>
      <c r="B457" s="31" t="n"/>
      <c r="C457" s="30" t="n"/>
      <c r="D457" s="32">
        <f>IF(AND(ISNUMBER(B457),ISNUMBER(C457)),B457*C457,"")</f>
        <v/>
      </c>
      <c r="E457" s="30" t="n"/>
    </row>
    <row r="458">
      <c r="A458" s="29" t="n"/>
      <c r="B458" s="31" t="n"/>
      <c r="C458" s="30" t="n"/>
      <c r="D458" s="32">
        <f>IF(AND(ISNUMBER(B458),ISNUMBER(C458)),B458*C458,"")</f>
        <v/>
      </c>
      <c r="E458" s="30" t="n"/>
    </row>
    <row r="459">
      <c r="A459" s="29" t="n"/>
      <c r="B459" s="31" t="n"/>
      <c r="C459" s="30" t="n"/>
      <c r="D459" s="32">
        <f>IF(AND(ISNUMBER(B459),ISNUMBER(C459)),B459*C459,"")</f>
        <v/>
      </c>
      <c r="E459" s="30" t="n"/>
    </row>
    <row r="460">
      <c r="A460" s="29" t="n"/>
      <c r="B460" s="31" t="n"/>
      <c r="C460" s="30" t="n"/>
      <c r="D460" s="32">
        <f>IF(AND(ISNUMBER(B460),ISNUMBER(C460)),B460*C460,"")</f>
        <v/>
      </c>
      <c r="E460" s="30" t="n"/>
    </row>
    <row r="461">
      <c r="A461" s="29" t="n"/>
      <c r="B461" s="31" t="n"/>
      <c r="C461" s="30" t="n"/>
      <c r="D461" s="32">
        <f>IF(AND(ISNUMBER(B461),ISNUMBER(C461)),B461*C461,"")</f>
        <v/>
      </c>
      <c r="E461" s="30" t="n"/>
    </row>
    <row r="462">
      <c r="A462" s="29" t="n"/>
      <c r="B462" s="31" t="n"/>
      <c r="C462" s="30" t="n"/>
      <c r="D462" s="32">
        <f>IF(AND(ISNUMBER(B462),ISNUMBER(C462)),B462*C462,"")</f>
        <v/>
      </c>
      <c r="E462" s="30" t="n"/>
    </row>
    <row r="463">
      <c r="A463" s="29" t="n"/>
      <c r="B463" s="31" t="n"/>
      <c r="C463" s="30" t="n"/>
      <c r="D463" s="32">
        <f>IF(AND(ISNUMBER(B463),ISNUMBER(C463)),B463*C463,"")</f>
        <v/>
      </c>
      <c r="E463" s="30" t="n"/>
    </row>
    <row r="464">
      <c r="A464" s="29" t="n"/>
      <c r="B464" s="31" t="n"/>
      <c r="C464" s="30" t="n"/>
      <c r="D464" s="32">
        <f>IF(AND(ISNUMBER(B464),ISNUMBER(C464)),B464*C464,"")</f>
        <v/>
      </c>
      <c r="E464" s="30" t="n"/>
    </row>
    <row r="465">
      <c r="A465" s="29" t="n"/>
      <c r="B465" s="31" t="n"/>
      <c r="C465" s="30" t="n"/>
      <c r="D465" s="32">
        <f>IF(AND(ISNUMBER(B465),ISNUMBER(C465)),B465*C465,"")</f>
        <v/>
      </c>
      <c r="E465" s="30" t="n"/>
    </row>
    <row r="466">
      <c r="A466" s="29" t="n"/>
      <c r="B466" s="31" t="n"/>
      <c r="C466" s="30" t="n"/>
      <c r="D466" s="32">
        <f>IF(AND(ISNUMBER(B466),ISNUMBER(C466)),B466*C466,"")</f>
        <v/>
      </c>
      <c r="E466" s="30" t="n"/>
    </row>
    <row r="467">
      <c r="A467" s="29" t="n"/>
      <c r="B467" s="31" t="n"/>
      <c r="C467" s="30" t="n"/>
      <c r="D467" s="32">
        <f>IF(AND(ISNUMBER(B467),ISNUMBER(C467)),B467*C467,"")</f>
        <v/>
      </c>
      <c r="E467" s="30" t="n"/>
    </row>
    <row r="468">
      <c r="A468" s="29" t="n"/>
      <c r="B468" s="31" t="n"/>
      <c r="C468" s="30" t="n"/>
      <c r="D468" s="32">
        <f>IF(AND(ISNUMBER(B468),ISNUMBER(C468)),B468*C468,"")</f>
        <v/>
      </c>
      <c r="E468" s="30" t="n"/>
    </row>
    <row r="469">
      <c r="A469" s="29" t="n"/>
      <c r="B469" s="31" t="n"/>
      <c r="C469" s="30" t="n"/>
      <c r="D469" s="32">
        <f>IF(AND(ISNUMBER(B469),ISNUMBER(C469)),B469*C469,"")</f>
        <v/>
      </c>
      <c r="E469" s="30" t="n"/>
    </row>
    <row r="470">
      <c r="A470" s="29" t="n"/>
      <c r="B470" s="31" t="n"/>
      <c r="C470" s="30" t="n"/>
      <c r="D470" s="32">
        <f>IF(AND(ISNUMBER(B470),ISNUMBER(C470)),B470*C470,"")</f>
        <v/>
      </c>
      <c r="E470" s="30" t="n"/>
    </row>
    <row r="471">
      <c r="A471" s="29" t="n"/>
      <c r="B471" s="31" t="n"/>
      <c r="C471" s="30" t="n"/>
      <c r="D471" s="32">
        <f>IF(AND(ISNUMBER(B471),ISNUMBER(C471)),B471*C471,"")</f>
        <v/>
      </c>
      <c r="E471" s="30" t="n"/>
    </row>
    <row r="472">
      <c r="A472" s="29" t="n"/>
      <c r="B472" s="31" t="n"/>
      <c r="C472" s="30" t="n"/>
      <c r="D472" s="32">
        <f>IF(AND(ISNUMBER(B472),ISNUMBER(C472)),B472*C472,"")</f>
        <v/>
      </c>
      <c r="E472" s="30" t="n"/>
    </row>
    <row r="473">
      <c r="A473" s="29" t="n"/>
      <c r="B473" s="31" t="n"/>
      <c r="C473" s="30" t="n"/>
      <c r="D473" s="32">
        <f>IF(AND(ISNUMBER(B473),ISNUMBER(C473)),B473*C473,"")</f>
        <v/>
      </c>
      <c r="E473" s="30" t="n"/>
    </row>
    <row r="474">
      <c r="A474" s="29" t="n"/>
      <c r="B474" s="31" t="n"/>
      <c r="C474" s="30" t="n"/>
      <c r="D474" s="32">
        <f>IF(AND(ISNUMBER(B474),ISNUMBER(C474)),B474*C474,"")</f>
        <v/>
      </c>
      <c r="E474" s="30" t="n"/>
    </row>
    <row r="475">
      <c r="A475" s="29" t="n"/>
      <c r="B475" s="31" t="n"/>
      <c r="C475" s="30" t="n"/>
      <c r="D475" s="32">
        <f>IF(AND(ISNUMBER(B475),ISNUMBER(C475)),B475*C475,"")</f>
        <v/>
      </c>
      <c r="E475" s="30" t="n"/>
    </row>
    <row r="476">
      <c r="A476" s="29" t="n"/>
      <c r="B476" s="31" t="n"/>
      <c r="C476" s="30" t="n"/>
      <c r="D476" s="32">
        <f>IF(AND(ISNUMBER(B476),ISNUMBER(C476)),B476*C476,"")</f>
        <v/>
      </c>
      <c r="E476" s="30" t="n"/>
    </row>
    <row r="477">
      <c r="A477" s="29" t="n"/>
      <c r="B477" s="31" t="n"/>
      <c r="C477" s="30" t="n"/>
      <c r="D477" s="32">
        <f>IF(AND(ISNUMBER(B477),ISNUMBER(C477)),B477*C477,"")</f>
        <v/>
      </c>
      <c r="E477" s="30" t="n"/>
    </row>
    <row r="478">
      <c r="A478" s="29" t="n"/>
      <c r="B478" s="31" t="n"/>
      <c r="C478" s="30" t="n"/>
      <c r="D478" s="32">
        <f>IF(AND(ISNUMBER(B478),ISNUMBER(C478)),B478*C478,"")</f>
        <v/>
      </c>
      <c r="E478" s="30" t="n"/>
    </row>
    <row r="479">
      <c r="A479" s="29" t="n"/>
      <c r="B479" s="31" t="n"/>
      <c r="C479" s="30" t="n"/>
      <c r="D479" s="32">
        <f>IF(AND(ISNUMBER(B479),ISNUMBER(C479)),B479*C479,"")</f>
        <v/>
      </c>
      <c r="E479" s="30" t="n"/>
    </row>
    <row r="480">
      <c r="A480" s="29" t="n"/>
      <c r="B480" s="31" t="n"/>
      <c r="C480" s="30" t="n"/>
      <c r="D480" s="32">
        <f>IF(AND(ISNUMBER(B480),ISNUMBER(C480)),B480*C480,"")</f>
        <v/>
      </c>
      <c r="E480" s="30" t="n"/>
    </row>
    <row r="481">
      <c r="A481" s="29" t="n"/>
      <c r="B481" s="31" t="n"/>
      <c r="C481" s="30" t="n"/>
      <c r="D481" s="32">
        <f>IF(AND(ISNUMBER(B481),ISNUMBER(C481)),B481*C481,"")</f>
        <v/>
      </c>
      <c r="E481" s="30" t="n"/>
    </row>
    <row r="482">
      <c r="A482" s="29" t="n"/>
      <c r="B482" s="31" t="n"/>
      <c r="C482" s="30" t="n"/>
      <c r="D482" s="32">
        <f>IF(AND(ISNUMBER(B482),ISNUMBER(C482)),B482*C482,"")</f>
        <v/>
      </c>
      <c r="E482" s="30" t="n"/>
    </row>
    <row r="483">
      <c r="A483" s="29" t="n"/>
      <c r="B483" s="31" t="n"/>
      <c r="C483" s="30" t="n"/>
      <c r="D483" s="32">
        <f>IF(AND(ISNUMBER(B483),ISNUMBER(C483)),B483*C483,"")</f>
        <v/>
      </c>
      <c r="E483" s="30" t="n"/>
    </row>
    <row r="484">
      <c r="A484" s="29" t="n"/>
      <c r="B484" s="31" t="n"/>
      <c r="C484" s="30" t="n"/>
      <c r="D484" s="32">
        <f>IF(AND(ISNUMBER(B484),ISNUMBER(C484)),B484*C484,"")</f>
        <v/>
      </c>
      <c r="E484" s="30" t="n"/>
    </row>
    <row r="485">
      <c r="A485" s="29" t="n"/>
      <c r="B485" s="31" t="n"/>
      <c r="C485" s="30" t="n"/>
      <c r="D485" s="32">
        <f>IF(AND(ISNUMBER(B485),ISNUMBER(C485)),B485*C485,"")</f>
        <v/>
      </c>
      <c r="E485" s="30" t="n"/>
    </row>
    <row r="486">
      <c r="A486" s="29" t="n"/>
      <c r="B486" s="31" t="n"/>
      <c r="C486" s="30" t="n"/>
      <c r="D486" s="32">
        <f>IF(AND(ISNUMBER(B486),ISNUMBER(C486)),B486*C486,"")</f>
        <v/>
      </c>
      <c r="E486" s="30" t="n"/>
    </row>
    <row r="487">
      <c r="A487" s="29" t="n"/>
      <c r="B487" s="31" t="n"/>
      <c r="C487" s="30" t="n"/>
      <c r="D487" s="32">
        <f>IF(AND(ISNUMBER(B487),ISNUMBER(C487)),B487*C487,"")</f>
        <v/>
      </c>
      <c r="E487" s="30" t="n"/>
    </row>
    <row r="488">
      <c r="A488" s="29" t="n"/>
      <c r="B488" s="31" t="n"/>
      <c r="C488" s="30" t="n"/>
      <c r="D488" s="32">
        <f>IF(AND(ISNUMBER(B488),ISNUMBER(C488)),B488*C488,"")</f>
        <v/>
      </c>
      <c r="E488" s="30" t="n"/>
    </row>
    <row r="489">
      <c r="A489" s="29" t="n"/>
      <c r="B489" s="31" t="n"/>
      <c r="C489" s="30" t="n"/>
      <c r="D489" s="32">
        <f>IF(AND(ISNUMBER(B489),ISNUMBER(C489)),B489*C489,"")</f>
        <v/>
      </c>
      <c r="E489" s="30" t="n"/>
    </row>
    <row r="490">
      <c r="A490" s="29" t="n"/>
      <c r="B490" s="31" t="n"/>
      <c r="C490" s="30" t="n"/>
      <c r="D490" s="32">
        <f>IF(AND(ISNUMBER(B490),ISNUMBER(C490)),B490*C490,"")</f>
        <v/>
      </c>
      <c r="E490" s="30" t="n"/>
    </row>
    <row r="491">
      <c r="A491" s="29" t="n"/>
      <c r="B491" s="31" t="n"/>
      <c r="C491" s="30" t="n"/>
      <c r="D491" s="32">
        <f>IF(AND(ISNUMBER(B491),ISNUMBER(C491)),B491*C491,"")</f>
        <v/>
      </c>
      <c r="E491" s="30" t="n"/>
    </row>
    <row r="492">
      <c r="A492" s="29" t="n"/>
      <c r="B492" s="31" t="n"/>
      <c r="C492" s="30" t="n"/>
      <c r="D492" s="32">
        <f>IF(AND(ISNUMBER(B492),ISNUMBER(C492)),B492*C492,"")</f>
        <v/>
      </c>
      <c r="E492" s="30" t="n"/>
    </row>
    <row r="493">
      <c r="A493" s="29" t="n"/>
      <c r="B493" s="31" t="n"/>
      <c r="C493" s="30" t="n"/>
      <c r="D493" s="32">
        <f>IF(AND(ISNUMBER(B493),ISNUMBER(C493)),B493*C493,"")</f>
        <v/>
      </c>
      <c r="E493" s="30" t="n"/>
    </row>
    <row r="494">
      <c r="A494" s="29" t="n"/>
      <c r="B494" s="31" t="n"/>
      <c r="C494" s="30" t="n"/>
      <c r="D494" s="32">
        <f>IF(AND(ISNUMBER(B494),ISNUMBER(C494)),B494*C494,"")</f>
        <v/>
      </c>
      <c r="E494" s="30" t="n"/>
    </row>
    <row r="495">
      <c r="A495" s="29" t="n"/>
      <c r="B495" s="31" t="n"/>
      <c r="C495" s="30" t="n"/>
      <c r="D495" s="32">
        <f>IF(AND(ISNUMBER(B495),ISNUMBER(C495)),B495*C495,"")</f>
        <v/>
      </c>
      <c r="E495" s="30" t="n"/>
    </row>
    <row r="496">
      <c r="A496" s="29" t="n"/>
      <c r="B496" s="31" t="n"/>
      <c r="C496" s="30" t="n"/>
      <c r="D496" s="32">
        <f>IF(AND(ISNUMBER(B496),ISNUMBER(C496)),B496*C496,"")</f>
        <v/>
      </c>
      <c r="E496" s="30" t="n"/>
    </row>
    <row r="497">
      <c r="A497" s="29" t="n"/>
      <c r="B497" s="31" t="n"/>
      <c r="C497" s="30" t="n"/>
      <c r="D497" s="32">
        <f>IF(AND(ISNUMBER(B497),ISNUMBER(C497)),B497*C497,"")</f>
        <v/>
      </c>
      <c r="E497" s="30" t="n"/>
    </row>
    <row r="498">
      <c r="A498" s="29" t="n"/>
      <c r="B498" s="31" t="n"/>
      <c r="C498" s="30" t="n"/>
      <c r="D498" s="32">
        <f>IF(AND(ISNUMBER(B498),ISNUMBER(C498)),B498*C498,"")</f>
        <v/>
      </c>
      <c r="E498" s="30" t="n"/>
    </row>
    <row r="499">
      <c r="A499" s="29" t="n"/>
      <c r="B499" s="31" t="n"/>
      <c r="C499" s="30" t="n"/>
      <c r="D499" s="32">
        <f>IF(AND(ISNUMBER(B499),ISNUMBER(C499)),B499*C499,"")</f>
        <v/>
      </c>
      <c r="E499" s="30" t="n"/>
    </row>
    <row r="500">
      <c r="A500" s="29" t="n"/>
      <c r="B500" s="31" t="n"/>
      <c r="C500" s="30" t="n"/>
      <c r="D500" s="32">
        <f>IF(AND(ISNUMBER(B500),ISNUMBER(C500)),B500*C500,"")</f>
        <v/>
      </c>
      <c r="E500" s="30" t="n"/>
    </row>
    <row r="501">
      <c r="A501" s="29" t="n"/>
      <c r="B501" s="31" t="n"/>
      <c r="C501" s="30" t="n"/>
      <c r="D501" s="32">
        <f>IF(AND(ISNUMBER(B501),ISNUMBER(C501)),B501*C501,"")</f>
        <v/>
      </c>
      <c r="E501" s="30" t="n"/>
    </row>
    <row r="502">
      <c r="A502" s="29" t="n"/>
      <c r="B502" s="31" t="n"/>
      <c r="C502" s="30" t="n"/>
      <c r="D502" s="32">
        <f>IF(AND(ISNUMBER(B502),ISNUMBER(C502)),B502*C502,"")</f>
        <v/>
      </c>
      <c r="E502" s="30" t="n"/>
    </row>
    <row r="503">
      <c r="A503" s="29" t="n"/>
      <c r="B503" s="31" t="n"/>
      <c r="C503" s="30" t="n"/>
      <c r="D503" s="32">
        <f>IF(AND(ISNUMBER(B503),ISNUMBER(C503)),B503*C503,"")</f>
        <v/>
      </c>
      <c r="E503" s="30" t="n"/>
    </row>
    <row r="504">
      <c r="A504" s="29" t="n"/>
      <c r="B504" s="31" t="n"/>
      <c r="C504" s="30" t="n"/>
      <c r="D504" s="32">
        <f>IF(AND(ISNUMBER(B504),ISNUMBER(C504)),B504*C504,"")</f>
        <v/>
      </c>
      <c r="E504" s="3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use this tracker</t>
        </is>
      </c>
    </row>
    <row r="3">
      <c r="A3" s="33" t="inlineStr">
        <is>
          <t>SETUP</t>
        </is>
      </c>
    </row>
    <row r="4">
      <c r="A4" t="inlineStr">
        <is>
          <t>1. Settings tab: enter your total capital (yellow). Lump sum, SIP and Bud amounts calculate themselves.</t>
        </is>
      </c>
    </row>
    <row r="5">
      <c r="A5" t="inlineStr">
        <is>
          <t>2. Confirm the six ETF pairs and buy days (yellow). Change the Gold ETF code if you use another.</t>
        </is>
      </c>
    </row>
    <row r="6">
      <c r="A6" t="inlineStr"/>
    </row>
    <row r="7">
      <c r="A7" t="inlineStr">
        <is>
          <t>LOGGING (Trades tab - yellow cells only; add rows in date order)</t>
        </is>
      </c>
    </row>
    <row r="8">
      <c r="A8" t="inlineStr">
        <is>
          <t>- LUMP: first buy of an ETF cycle.   SIP: monthly add.   BUD: a Bud-mode dip buy.</t>
        </is>
      </c>
    </row>
    <row r="9">
      <c r="A9" t="inlineStr">
        <is>
          <t>- SELL: always enter the FULL quantity of that ETF. The sheet computes profit for the cycle.</t>
        </is>
      </c>
    </row>
    <row r="10">
      <c r="A10" t="inlineStr">
        <is>
          <t>- Record the real broker price and quantity. Brokerage is optional.</t>
        </is>
      </c>
    </row>
    <row r="11">
      <c r="A11" t="inlineStr">
        <is>
          <t>- After a SELL, buy gold with the profit and log it in the Gold tab (Dashboard shows the amount waiting).</t>
        </is>
      </c>
    </row>
    <row r="12">
      <c r="A12" t="inlineStr"/>
    </row>
    <row r="13">
      <c r="A13" t="inlineStr">
        <is>
          <t>DAILY (after market, 2 minutes)</t>
        </is>
      </c>
    </row>
    <row r="14">
      <c r="A14" t="inlineStr">
        <is>
          <t>- Open Dashboard. Anything in the ACTION column is something to do tomorrow/now:</t>
        </is>
      </c>
    </row>
    <row r="15">
      <c r="A15" t="inlineStr">
        <is>
          <t xml:space="preserve">   SELL ALL (green): price reached average cost +5%.</t>
        </is>
      </c>
    </row>
    <row r="16">
      <c r="A16" t="inlineStr">
        <is>
          <t xml:space="preserve">   BUY PARTNER (red): the Nifty ETF is 5% under average cost; lump-sum its Bank Nifty partner.</t>
        </is>
      </c>
    </row>
    <row r="17">
      <c r="A17" t="inlineStr">
        <is>
          <t xml:space="preserve">   BUD BUY #n (red): Bud mode is on; buy ONLY the #1 ETF today (one Bud buy per day).</t>
        </is>
      </c>
    </row>
    <row r="18">
      <c r="A18" t="inlineStr">
        <is>
          <t xml:space="preserve">   SIP due / LUMP due (amber): scheduled monthly buy. If it falls on a holiday, buy next trading day.</t>
        </is>
      </c>
    </row>
    <row r="19">
      <c r="A19" t="inlineStr"/>
    </row>
    <row r="20">
      <c r="A20" s="33" t="inlineStr">
        <is>
          <t>RULES BUILT IN</t>
        </is>
      </c>
    </row>
    <row r="21">
      <c r="A21" t="inlineStr">
        <is>
          <t>- Mode flips to BUD when deployed capital is above 80% of capital; SIPs and lump-sum restarts pause in BUD mode.</t>
        </is>
      </c>
    </row>
    <row r="22">
      <c r="A22" t="inlineStr">
        <is>
          <t>- Next due date for a restarted ETF: this month if sold before its buy day, otherwise next month.</t>
        </is>
      </c>
    </row>
    <row r="23">
      <c r="A23" t="inlineStr">
        <is>
          <t>- Track 2 partners wait for a trigger; their SIP day is the day of their first lump sum.</t>
        </is>
      </c>
    </row>
    <row r="24">
      <c r="A24" t="inlineStr"/>
    </row>
    <row r="25">
      <c r="A25" s="33" t="inlineStr">
        <is>
          <t>PRICES</t>
        </is>
      </c>
    </row>
    <row r="26">
      <c r="A26" t="inlineStr">
        <is>
          <t>- Live prices use GOOGLEFINANCE (Google Sheets only). Type a price in 'Manual price' to override or if a quote is missing.</t>
        </is>
      </c>
    </row>
    <row r="27">
      <c r="A27" t="inlineStr">
        <is>
          <t>- Opening this file in Excel works too, but live prices need manual entry.</t>
        </is>
      </c>
    </row>
    <row r="28">
      <c r="A28" t="inlineStr"/>
    </row>
    <row r="29">
      <c r="A29" t="inlineStr">
        <is>
          <t>If capital reaches 100%, lower the sell target in Settings (5% -&gt; 4% -&gt; 3%) to free capital, then restore it.</t>
        </is>
      </c>
    </row>
    <row r="30">
      <c r="A30" t="inlineStr">
        <is>
          <t>Not investment advice. Past backtests are not a promise.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2026-10-27T23:31:41Z</dcterms:created>
  <dcterms:modified xmlns:dcterms="http://purl.org/dc/terms/" xmlns:xsi="http://www.w3.org/2001/XMLSchema-instance" xsi:type="dcterms:W3CDTF">2026-10-27T23:31:41Z</dcterms:modified>
</cp:coreProperties>
</file>